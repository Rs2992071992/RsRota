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o_Diario_Motorista" sheetId="1" r:id="rId5"/>
    <sheet state="visible" name="Viagens_APP" sheetId="2" r:id="rId6"/>
    <sheet state="visible" name="custo_motorista_e_veiculo" sheetId="3" r:id="rId7"/>
    <sheet state="visible" name="Tabela_ConsPort" sheetId="4" r:id="rId8"/>
  </sheets>
  <definedNames/>
  <calcPr/>
</workbook>
</file>

<file path=xl/sharedStrings.xml><?xml version="1.0" encoding="utf-8"?>
<sst xmlns="http://schemas.openxmlformats.org/spreadsheetml/2006/main" count="368" uniqueCount="144">
  <si>
    <t>ID Rota</t>
  </si>
  <si>
    <t>Data</t>
  </si>
  <si>
    <t>Tipo Viagem</t>
  </si>
  <si>
    <t>Tipo Veiculo</t>
  </si>
  <si>
    <t>Cliente / Local</t>
  </si>
  <si>
    <t>KM Inicial</t>
  </si>
  <si>
    <t>KM Final</t>
  </si>
  <si>
    <t>KM Totais Cliente</t>
  </si>
  <si>
    <t>KG Carregados</t>
  </si>
  <si>
    <t>KG Descarregados</t>
  </si>
  <si>
    <t>Litros Abastecidos</t>
  </si>
  <si>
    <t>Custo Abastecido (€)</t>
  </si>
  <si>
    <t>Zona Portagem</t>
  </si>
  <si>
    <t>Portagens Extra (€)</t>
  </si>
  <si>
    <t>Noites Fora</t>
  </si>
  <si>
    <t>Alimentação (€)</t>
  </si>
  <si>
    <t>Horas Extra</t>
  </si>
  <si>
    <t>BOTO</t>
  </si>
  <si>
    <t>Ida</t>
  </si>
  <si>
    <t>CAMIAO+REBOQUE</t>
  </si>
  <si>
    <t>Agromundo</t>
  </si>
  <si>
    <t>VilarFormoso</t>
  </si>
  <si>
    <t>Volta</t>
  </si>
  <si>
    <t>Tecfil</t>
  </si>
  <si>
    <t>oe</t>
  </si>
  <si>
    <t>CAMIAO</t>
  </si>
  <si>
    <t>rede</t>
  </si>
  <si>
    <t>MarTorres3</t>
  </si>
  <si>
    <t>sal</t>
  </si>
  <si>
    <t>SPortagem</t>
  </si>
  <si>
    <t xml:space="preserve">maravedis </t>
  </si>
  <si>
    <t>cyr</t>
  </si>
  <si>
    <t>vecotorres</t>
  </si>
  <si>
    <t>liscampo</t>
  </si>
  <si>
    <t xml:space="preserve">morgado </t>
  </si>
  <si>
    <t>esequiel</t>
  </si>
  <si>
    <t>VAZIO</t>
  </si>
  <si>
    <t>volta</t>
  </si>
  <si>
    <t>Tecges</t>
  </si>
  <si>
    <t>Abril/ Maio</t>
  </si>
  <si>
    <t>Dias da semana</t>
  </si>
  <si>
    <t>IDA/VOLTA</t>
  </si>
  <si>
    <t>Cliente</t>
  </si>
  <si>
    <t>KM IN</t>
  </si>
  <si>
    <t>KM FIM</t>
  </si>
  <si>
    <t>Km feitos</t>
  </si>
  <si>
    <t>Portagens</t>
  </si>
  <si>
    <t>Portagens adi</t>
  </si>
  <si>
    <t>Tipo viagem</t>
  </si>
  <si>
    <t>Peso Transportado</t>
  </si>
  <si>
    <t>Coeficiente%</t>
  </si>
  <si>
    <t>Tonelada-KM</t>
  </si>
  <si>
    <t>Ton Km Rota</t>
  </si>
  <si>
    <t>Coef Real</t>
  </si>
  <si>
    <t xml:space="preserve">MediaL </t>
  </si>
  <si>
    <t xml:space="preserve">Preço ref combustivel </t>
  </si>
  <si>
    <t>Total comb Euro</t>
  </si>
  <si>
    <t>Adblue</t>
  </si>
  <si>
    <t>Preço Adblue</t>
  </si>
  <si>
    <t>Custo Motorista</t>
  </si>
  <si>
    <t>Custo Veiculo</t>
  </si>
  <si>
    <t>Noites</t>
  </si>
  <si>
    <t>Alimentação</t>
  </si>
  <si>
    <t>Horas a mais</t>
  </si>
  <si>
    <t>Preço total H</t>
  </si>
  <si>
    <t>Custo</t>
  </si>
  <si>
    <t>Preço KG</t>
  </si>
  <si>
    <t>Custo atribuído ao cliente</t>
  </si>
  <si>
    <t>Custo total da rota</t>
  </si>
  <si>
    <t>Preço minimo</t>
  </si>
  <si>
    <t>Receita total da rota</t>
  </si>
  <si>
    <t>Lucro da rota</t>
  </si>
  <si>
    <t>Receita Paga pelo cliente</t>
  </si>
  <si>
    <t>Alerta Automatico</t>
  </si>
  <si>
    <t>LitrosESPAHA</t>
  </si>
  <si>
    <t>CombsESPAHA</t>
  </si>
  <si>
    <t>HILP01</t>
  </si>
  <si>
    <t xml:space="preserve"> Hilplas Tecfil</t>
  </si>
  <si>
    <t>Vazio</t>
  </si>
  <si>
    <t>RETORNO</t>
  </si>
  <si>
    <t>GA1</t>
  </si>
  <si>
    <t>A2</t>
  </si>
  <si>
    <t>tecfence</t>
  </si>
  <si>
    <t>santymar</t>
  </si>
  <si>
    <t>chamorro</t>
  </si>
  <si>
    <t>melgaco</t>
  </si>
  <si>
    <t>GT1</t>
  </si>
  <si>
    <t>GA2</t>
  </si>
  <si>
    <t>18/05</t>
  </si>
  <si>
    <t xml:space="preserve">acuicolas </t>
  </si>
  <si>
    <t>poutada</t>
  </si>
  <si>
    <t>RGA2</t>
  </si>
  <si>
    <t>coregal</t>
  </si>
  <si>
    <t>za1</t>
  </si>
  <si>
    <t>20/05</t>
  </si>
  <si>
    <t xml:space="preserve">fertimaq </t>
  </si>
  <si>
    <t xml:space="preserve">tecnipec </t>
  </si>
  <si>
    <t>za2</t>
  </si>
  <si>
    <t>Recolha</t>
  </si>
  <si>
    <t>destino tecfil</t>
  </si>
  <si>
    <t>KM ANUAIS</t>
  </si>
  <si>
    <t>Motorista</t>
  </si>
  <si>
    <t>Veiculo</t>
  </si>
  <si>
    <t xml:space="preserve">   Valor de Aquisição</t>
  </si>
  <si>
    <t>Salario</t>
  </si>
  <si>
    <t>Km</t>
  </si>
  <si>
    <t>Total</t>
  </si>
  <si>
    <t xml:space="preserve">   Valor Residual</t>
  </si>
  <si>
    <t>Seguro</t>
  </si>
  <si>
    <t>Rparações desp Anuais</t>
  </si>
  <si>
    <t xml:space="preserve">   Vida Útil</t>
  </si>
  <si>
    <t>Desconto empresa 24%</t>
  </si>
  <si>
    <t>Pneus</t>
  </si>
  <si>
    <t>Valor por 1M km</t>
  </si>
  <si>
    <t>Revisão</t>
  </si>
  <si>
    <t>Inspeção</t>
  </si>
  <si>
    <t>Depreciação veiculo</t>
  </si>
  <si>
    <t>Total Manutenção</t>
  </si>
  <si>
    <t>(Valor de aquisição - valor residual) / vida útil</t>
  </si>
  <si>
    <t>Custo Mensal</t>
  </si>
  <si>
    <t>IUC</t>
  </si>
  <si>
    <t>Custos Fixos Anuais</t>
  </si>
  <si>
    <t>Custo Mensal km</t>
  </si>
  <si>
    <t>Juros</t>
  </si>
  <si>
    <t>Juros + Seguros + Imposto + depreciações</t>
  </si>
  <si>
    <t>Custo por km anual</t>
  </si>
  <si>
    <t>Custo fixo anual km</t>
  </si>
  <si>
    <t>Preço dos pneus</t>
  </si>
  <si>
    <t>Custo veiculo Total km</t>
  </si>
  <si>
    <t>Preço</t>
  </si>
  <si>
    <t>1 Eixo</t>
  </si>
  <si>
    <t>2 Eixo</t>
  </si>
  <si>
    <t>3 Eixo</t>
  </si>
  <si>
    <t>4 Eixo</t>
  </si>
  <si>
    <t>5 Eixo</t>
  </si>
  <si>
    <t>Carga</t>
  </si>
  <si>
    <t>Consumo/100</t>
  </si>
  <si>
    <t>Tabela Portagens</t>
  </si>
  <si>
    <t>Galiza</t>
  </si>
  <si>
    <t>Armazém norte</t>
  </si>
  <si>
    <t>Zambujeira</t>
  </si>
  <si>
    <t>AveirasStubal3</t>
  </si>
  <si>
    <t>MARsesimbra3</t>
  </si>
  <si>
    <t>Classe 4 e valores so de 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</si>
</sst>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\ [$€-1]"/>
    <numFmt numFmtId="165" formatCode="0 kg"/>
    <numFmt numFmtId="166" formatCode="0 L"/>
    <numFmt numFmtId="167" formatCode="mm/dd"/>
    <numFmt numFmtId="168" formatCode="_-* #,##0.00\ &quot;€&quot;_-;\-* #,##0.00\ &quot;€&quot;_-;_-* &quot;-&quot;??\ &quot;€&quot;_-;_-@"/>
    <numFmt numFmtId="169" formatCode="0.000"/>
    <numFmt numFmtId="170" formatCode="#,##0.0000\ [$€-1]"/>
    <numFmt numFmtId="171" formatCode="#,##0\ [$€-1]"/>
  </numFmts>
  <fonts count="12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Calibri"/>
    </font>
    <font/>
    <font>
      <sz val="11.0"/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sz val="12.0"/>
      <color theme="1"/>
      <name val="Calibri"/>
    </font>
    <font>
      <sz val="12.0"/>
      <color rgb="FF000000"/>
      <name val="Arial"/>
    </font>
    <font>
      <sz val="11.0"/>
      <color theme="1"/>
      <name val="Arial"/>
    </font>
    <font>
      <b/>
      <sz val="10.0"/>
      <color theme="1"/>
      <name val="Calibri"/>
    </font>
    <font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Font="1"/>
    <xf borderId="1" fillId="2" fontId="2" numFmtId="0" xfId="0" applyBorder="1" applyFill="1" applyFont="1"/>
    <xf borderId="1" fillId="0" fontId="2" numFmtId="0" xfId="0" applyBorder="1" applyFont="1"/>
    <xf borderId="1" fillId="3" fontId="2" numFmtId="0" xfId="0" applyBorder="1" applyFill="1" applyFont="1"/>
    <xf borderId="1" fillId="4" fontId="2" numFmtId="0" xfId="0" applyBorder="1" applyFill="1" applyFont="1"/>
    <xf borderId="1" fillId="0" fontId="2" numFmtId="10" xfId="0" applyBorder="1" applyFont="1" applyNumberFormat="1"/>
    <xf borderId="1" fillId="0" fontId="2" numFmtId="164" xfId="0" applyBorder="1" applyFont="1" applyNumberFormat="1"/>
    <xf borderId="0" fillId="0" fontId="2" numFmtId="0" xfId="0" applyFont="1"/>
    <xf borderId="1" fillId="2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0" fillId="0" fontId="2" numFmtId="0" xfId="0" applyAlignment="1" applyFont="1">
      <alignment readingOrder="0"/>
    </xf>
    <xf borderId="1" fillId="2" fontId="2" numFmtId="164" xfId="0" applyBorder="1" applyFont="1" applyNumberFormat="1"/>
    <xf borderId="0" fillId="0" fontId="1" numFmtId="0" xfId="0" applyFont="1"/>
    <xf borderId="1" fillId="0" fontId="1" numFmtId="164" xfId="0" applyBorder="1" applyFont="1" applyNumberFormat="1"/>
    <xf borderId="1" fillId="4" fontId="1" numFmtId="0" xfId="0" applyBorder="1" applyFont="1"/>
    <xf borderId="1" fillId="4" fontId="2" numFmtId="165" xfId="0" applyBorder="1" applyFont="1" applyNumberFormat="1"/>
    <xf borderId="1" fillId="0" fontId="2" numFmtId="4" xfId="0" applyBorder="1" applyFont="1" applyNumberFormat="1"/>
    <xf borderId="1" fillId="0" fontId="2" numFmtId="166" xfId="0" applyBorder="1" applyFont="1" applyNumberFormat="1"/>
    <xf borderId="0" fillId="0" fontId="2" numFmtId="164" xfId="0" applyFont="1" applyNumberFormat="1"/>
    <xf borderId="1" fillId="0" fontId="2" numFmtId="167" xfId="0" applyBorder="1" applyFont="1" applyNumberFormat="1"/>
    <xf borderId="1" fillId="2" fontId="4" numFmtId="0" xfId="0" applyBorder="1" applyFont="1"/>
    <xf borderId="1" fillId="2" fontId="1" numFmtId="0" xfId="0" applyBorder="1" applyFont="1"/>
    <xf borderId="1" fillId="0" fontId="1" numFmtId="0" xfId="0" applyBorder="1" applyFont="1"/>
    <xf borderId="1" fillId="0" fontId="4" numFmtId="0" xfId="0" applyBorder="1" applyFont="1"/>
    <xf borderId="1" fillId="3" fontId="1" numFmtId="0" xfId="0" applyBorder="1" applyFont="1"/>
    <xf borderId="1" fillId="4" fontId="4" numFmtId="0" xfId="0" applyBorder="1" applyFont="1"/>
    <xf borderId="1" fillId="2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0" fillId="5" fontId="1" numFmtId="0" xfId="0" applyFill="1" applyFont="1"/>
    <xf borderId="0" fillId="5" fontId="4" numFmtId="0" xfId="0" applyFont="1"/>
    <xf borderId="0" fillId="5" fontId="1" numFmtId="0" xfId="0" applyFont="1"/>
    <xf borderId="1" fillId="5" fontId="1" numFmtId="164" xfId="0" applyBorder="1" applyFont="1" applyNumberFormat="1"/>
    <xf borderId="1" fillId="5" fontId="2" numFmtId="0" xfId="0" applyAlignment="1" applyBorder="1" applyFont="1">
      <alignment readingOrder="0"/>
    </xf>
    <xf borderId="1" fillId="5" fontId="2" numFmtId="10" xfId="0" applyBorder="1" applyFont="1" applyNumberFormat="1"/>
    <xf borderId="1" fillId="5" fontId="2" numFmtId="0" xfId="0" applyBorder="1" applyFont="1"/>
    <xf borderId="1" fillId="5" fontId="2" numFmtId="4" xfId="0" applyBorder="1" applyFont="1" applyNumberFormat="1"/>
    <xf borderId="1" fillId="5" fontId="2" numFmtId="166" xfId="0" applyBorder="1" applyFont="1" applyNumberFormat="1"/>
    <xf borderId="1" fillId="5" fontId="2" numFmtId="164" xfId="0" applyAlignment="1" applyBorder="1" applyFont="1" applyNumberFormat="1">
      <alignment readingOrder="0"/>
    </xf>
    <xf borderId="1" fillId="5" fontId="2" numFmtId="164" xfId="0" applyBorder="1" applyFont="1" applyNumberFormat="1"/>
    <xf borderId="1" fillId="5" fontId="4" numFmtId="0" xfId="0" applyAlignment="1" applyBorder="1" applyFont="1">
      <alignment readingOrder="0"/>
    </xf>
    <xf borderId="0" fillId="5" fontId="2" numFmtId="164" xfId="0" applyFont="1" applyNumberFormat="1"/>
    <xf borderId="0" fillId="2" fontId="1" numFmtId="0" xfId="0" applyAlignment="1" applyFont="1">
      <alignment readingOrder="0"/>
    </xf>
    <xf borderId="0" fillId="0" fontId="1" numFmtId="14" xfId="0" applyFont="1" applyNumberFormat="1"/>
    <xf borderId="0" fillId="0" fontId="4" numFmtId="0" xfId="0" applyFont="1"/>
    <xf borderId="0" fillId="3" fontId="1" numFmtId="0" xfId="0" applyFont="1"/>
    <xf borderId="0" fillId="2" fontId="1" numFmtId="0" xfId="0" applyFont="1"/>
    <xf borderId="0" fillId="2" fontId="1" numFmtId="0" xfId="0" applyFont="1"/>
    <xf borderId="1" fillId="6" fontId="1" numFmtId="0" xfId="0" applyBorder="1" applyFill="1" applyFont="1"/>
    <xf borderId="1" fillId="6" fontId="1" numFmtId="0" xfId="0" applyBorder="1" applyFont="1"/>
    <xf borderId="0" fillId="2" fontId="4" numFmtId="0" xfId="0" applyAlignment="1" applyFont="1">
      <alignment readingOrder="0"/>
    </xf>
    <xf borderId="0" fillId="0" fontId="1" numFmtId="164" xfId="0" applyFont="1" applyNumberFormat="1"/>
    <xf borderId="0" fillId="2" fontId="4" numFmtId="0" xfId="0" applyFont="1"/>
    <xf borderId="0" fillId="4" fontId="1" numFmtId="0" xfId="0" applyFont="1"/>
    <xf borderId="0" fillId="4" fontId="4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2" fillId="0" fontId="5" numFmtId="0" xfId="0" applyAlignment="1" applyBorder="1" applyFont="1">
      <alignment horizontal="center" vertical="bottom"/>
    </xf>
    <xf borderId="4" fillId="0" fontId="3" numFmtId="0" xfId="0" applyBorder="1" applyFont="1"/>
    <xf borderId="0" fillId="0" fontId="6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1" fillId="7" fontId="7" numFmtId="0" xfId="0" applyBorder="1" applyFill="1" applyFont="1"/>
    <xf borderId="1" fillId="7" fontId="7" numFmtId="168" xfId="0" applyAlignment="1" applyBorder="1" applyFont="1" applyNumberFormat="1">
      <alignment horizontal="right"/>
    </xf>
    <xf borderId="0" fillId="7" fontId="4" numFmtId="168" xfId="0" applyFont="1" applyNumberFormat="1"/>
    <xf borderId="1" fillId="0" fontId="6" numFmtId="164" xfId="0" applyAlignment="1" applyBorder="1" applyFont="1" applyNumberFormat="1">
      <alignment horizontal="right" vertical="bottom"/>
    </xf>
    <xf borderId="0" fillId="0" fontId="5" numFmtId="169" xfId="0" applyAlignment="1" applyFont="1" applyNumberFormat="1">
      <alignment horizontal="center" vertical="bottom"/>
    </xf>
    <xf borderId="2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0" fillId="7" fontId="4" numFmtId="0" xfId="0" applyFont="1"/>
    <xf borderId="2" fillId="0" fontId="8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right" readingOrder="0" vertical="bottom"/>
    </xf>
    <xf borderId="1" fillId="0" fontId="6" numFmtId="164" xfId="0" applyAlignment="1" applyBorder="1" applyFont="1" applyNumberFormat="1">
      <alignment horizontal="right" vertical="bottom"/>
    </xf>
    <xf borderId="1" fillId="0" fontId="9" numFmtId="170" xfId="0" applyBorder="1" applyFont="1" applyNumberFormat="1"/>
    <xf borderId="0" fillId="0" fontId="9" numFmtId="170" xfId="0" applyFont="1" applyNumberFormat="1"/>
    <xf borderId="1" fillId="7" fontId="7" numFmtId="0" xfId="0" applyAlignment="1" applyBorder="1" applyFont="1">
      <alignment horizontal="right"/>
    </xf>
    <xf borderId="2" fillId="0" fontId="6" numFmtId="0" xfId="0" applyAlignment="1" applyBorder="1" applyFont="1">
      <alignment horizontal="center" vertical="bottom"/>
    </xf>
    <xf borderId="1" fillId="0" fontId="5" numFmtId="164" xfId="0" applyAlignment="1" applyBorder="1" applyFont="1" applyNumberFormat="1">
      <alignment vertical="bottom"/>
    </xf>
    <xf borderId="2" fillId="0" fontId="8" numFmtId="0" xfId="0" applyAlignment="1" applyBorder="1" applyFont="1">
      <alignment horizontal="center" vertical="bottom"/>
    </xf>
    <xf borderId="2" fillId="0" fontId="6" numFmtId="170" xfId="0" applyAlignment="1" applyBorder="1" applyFont="1" applyNumberFormat="1">
      <alignment horizontal="center" vertical="bottom"/>
    </xf>
    <xf borderId="0" fillId="0" fontId="6" numFmtId="170" xfId="0" applyAlignment="1" applyFont="1" applyNumberFormat="1">
      <alignment horizontal="center" vertical="bottom"/>
    </xf>
    <xf borderId="1" fillId="0" fontId="6" numFmtId="164" xfId="0" applyAlignment="1" applyBorder="1" applyFont="1" applyNumberForma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1" fillId="7" fontId="1" numFmtId="0" xfId="0" applyBorder="1" applyFont="1"/>
    <xf borderId="5" fillId="0" fontId="6" numFmtId="0" xfId="0" applyAlignment="1" applyBorder="1" applyFon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" fillId="0" fontId="9" numFmtId="0" xfId="0" applyAlignment="1" applyBorder="1" applyFont="1">
      <alignment readingOrder="0"/>
    </xf>
    <xf borderId="1" fillId="0" fontId="9" numFmtId="164" xfId="0" applyBorder="1" applyFont="1" applyNumberFormat="1"/>
    <xf borderId="0" fillId="0" fontId="1" numFmtId="164" xfId="0" applyFont="1" applyNumberFormat="1"/>
    <xf borderId="1" fillId="7" fontId="10" numFmtId="0" xfId="0" applyBorder="1" applyFont="1"/>
    <xf borderId="2" fillId="0" fontId="6" numFmtId="0" xfId="0" applyAlignment="1" applyBorder="1" applyFont="1">
      <alignment vertical="bottom"/>
    </xf>
    <xf borderId="2" fillId="0" fontId="11" numFmtId="0" xfId="0" applyAlignment="1" applyBorder="1" applyFont="1">
      <alignment horizontal="center"/>
    </xf>
    <xf borderId="1" fillId="0" fontId="9" numFmtId="0" xfId="0" applyBorder="1" applyFont="1"/>
    <xf borderId="1" fillId="0" fontId="1" numFmtId="164" xfId="0" applyBorder="1" applyFont="1" applyNumberFormat="1"/>
    <xf borderId="0" fillId="0" fontId="9" numFmtId="164" xfId="0" applyFont="1" applyNumberFormat="1"/>
    <xf borderId="2" fillId="0" fontId="6" numFmtId="0" xfId="0" applyAlignment="1" applyBorder="1" applyFont="1">
      <alignment readingOrder="0" vertical="bottom"/>
    </xf>
    <xf borderId="1" fillId="0" fontId="6" numFmtId="9" xfId="0" applyAlignment="1" applyBorder="1" applyFont="1" applyNumberFormat="1">
      <alignment horizontal="right" vertical="bottom"/>
    </xf>
    <xf borderId="1" fillId="7" fontId="10" numFmtId="0" xfId="0" applyAlignment="1" applyBorder="1" applyFont="1">
      <alignment readingOrder="0"/>
    </xf>
    <xf borderId="2" fillId="8" fontId="6" numFmtId="0" xfId="0" applyAlignment="1" applyBorder="1" applyFill="1" applyFont="1">
      <alignment vertical="bottom"/>
    </xf>
    <xf borderId="1" fillId="8" fontId="5" numFmtId="164" xfId="0" applyAlignment="1" applyBorder="1" applyFont="1" applyNumberFormat="1">
      <alignment vertical="bottom"/>
    </xf>
    <xf borderId="1" fillId="0" fontId="6" numFmtId="0" xfId="0" applyAlignment="1" applyBorder="1" applyFont="1">
      <alignment vertical="bottom"/>
    </xf>
    <xf borderId="1" fillId="0" fontId="2" numFmtId="164" xfId="0" applyBorder="1" applyFont="1" applyNumberFormat="1"/>
    <xf borderId="1" fillId="8" fontId="2" numFmtId="0" xfId="0" applyAlignment="1" applyBorder="1" applyFont="1">
      <alignment readingOrder="0"/>
    </xf>
    <xf borderId="1" fillId="8" fontId="2" numFmtId="164" xfId="0" applyBorder="1" applyFont="1" applyNumberFormat="1"/>
    <xf borderId="0" fillId="7" fontId="10" numFmtId="0" xfId="0" applyFont="1"/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right" vertical="bottom"/>
    </xf>
    <xf borderId="1" fillId="0" fontId="6" numFmtId="171" xfId="0" applyAlignment="1" applyBorder="1" applyFont="1" applyNumberFormat="1">
      <alignment horizontal="right" vertical="bottom"/>
    </xf>
    <xf borderId="1" fillId="0" fontId="5" numFmtId="164" xfId="0" applyAlignment="1" applyBorder="1" applyFont="1" applyNumberFormat="1">
      <alignment horizontal="right" vertical="bottom"/>
    </xf>
    <xf borderId="1" fillId="0" fontId="6" numFmtId="171" xfId="0" applyAlignment="1" applyBorder="1" applyFont="1" applyNumberFormat="1">
      <alignment horizontal="right" readingOrder="0" vertical="bottom"/>
    </xf>
    <xf borderId="1" fillId="0" fontId="5" numFmtId="171" xfId="0" applyAlignment="1" applyBorder="1" applyFont="1" applyNumberFormat="1">
      <alignment horizontal="right" vertical="bottom"/>
    </xf>
    <xf borderId="0" fillId="0" fontId="2" numFmtId="2" xfId="0" applyFont="1" applyNumberFormat="1"/>
    <xf borderId="1" fillId="5" fontId="5" numFmtId="164" xfId="0" applyAlignment="1" applyBorder="1" applyFont="1" applyNumberFormat="1">
      <alignment horizontal="right" vertical="bottom"/>
    </xf>
    <xf borderId="2" fillId="0" fontId="2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23.57"/>
    <col customWidth="1" min="8" max="8" width="15.86"/>
    <col customWidth="1" min="10" max="10" width="16.43"/>
    <col customWidth="1" min="11" max="11" width="16.57"/>
    <col customWidth="1" min="12" max="12" width="1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3">
        <f t="shared" ref="B2:B5" si="1">IF(A2="", "", IF(B2="", TODAY(), B2))</f>
        <v>46172</v>
      </c>
      <c r="C2" s="1" t="s">
        <v>18</v>
      </c>
      <c r="D2" s="1" t="s">
        <v>19</v>
      </c>
      <c r="E2" s="1" t="s">
        <v>20</v>
      </c>
      <c r="F2" s="1">
        <v>345182.0</v>
      </c>
      <c r="G2" s="1">
        <v>345880.0</v>
      </c>
      <c r="H2" s="4">
        <f t="shared" ref="H2:H21" si="2">G2-F2</f>
        <v>698</v>
      </c>
      <c r="I2" s="1">
        <v>0.0</v>
      </c>
      <c r="J2" s="4">
        <f>2240+2240+5712+2856+2880+720+5760+3808</f>
        <v>26216</v>
      </c>
      <c r="K2" s="1">
        <v>291.11</v>
      </c>
      <c r="L2" s="1">
        <v>494.6</v>
      </c>
      <c r="M2" s="2" t="s">
        <v>21</v>
      </c>
      <c r="N2" s="1">
        <v>15.05</v>
      </c>
      <c r="O2" s="1">
        <v>70.0</v>
      </c>
      <c r="P2" s="1">
        <v>10.5</v>
      </c>
    </row>
    <row r="3">
      <c r="A3" s="1" t="s">
        <v>17</v>
      </c>
      <c r="B3" s="3">
        <f t="shared" si="1"/>
        <v>46175</v>
      </c>
      <c r="C3" s="1" t="s">
        <v>22</v>
      </c>
      <c r="D3" s="1" t="s">
        <v>19</v>
      </c>
      <c r="E3" s="1" t="s">
        <v>23</v>
      </c>
      <c r="F3" s="1">
        <v>345880.0</v>
      </c>
      <c r="G3" s="1">
        <v>346584.0</v>
      </c>
      <c r="H3" s="4">
        <f t="shared" si="2"/>
        <v>704</v>
      </c>
      <c r="I3" s="1">
        <v>0.0</v>
      </c>
      <c r="J3" s="1">
        <v>0.0</v>
      </c>
      <c r="K3" s="1">
        <v>318.0</v>
      </c>
      <c r="L3" s="1">
        <v>448.06</v>
      </c>
      <c r="M3" s="2" t="s">
        <v>21</v>
      </c>
      <c r="N3" s="1">
        <v>15.05</v>
      </c>
      <c r="P3" s="1">
        <v>18.85</v>
      </c>
      <c r="Q3" s="1">
        <v>3.0</v>
      </c>
    </row>
    <row r="4">
      <c r="A4" s="1" t="s">
        <v>24</v>
      </c>
      <c r="B4" s="3">
        <f t="shared" si="1"/>
        <v>46176</v>
      </c>
      <c r="C4" s="1" t="s">
        <v>18</v>
      </c>
      <c r="D4" s="1" t="s">
        <v>25</v>
      </c>
      <c r="E4" s="1" t="s">
        <v>26</v>
      </c>
      <c r="F4" s="1">
        <v>346584.0</v>
      </c>
      <c r="G4" s="1">
        <v>346675.0</v>
      </c>
      <c r="H4" s="4">
        <f t="shared" si="2"/>
        <v>91</v>
      </c>
      <c r="I4" s="1">
        <v>0.0</v>
      </c>
      <c r="J4" s="1">
        <v>339.0</v>
      </c>
      <c r="M4" s="2" t="s">
        <v>27</v>
      </c>
    </row>
    <row r="5">
      <c r="A5" s="1" t="s">
        <v>24</v>
      </c>
      <c r="B5" s="3">
        <f t="shared" si="1"/>
        <v>46176</v>
      </c>
      <c r="C5" s="1" t="s">
        <v>18</v>
      </c>
      <c r="D5" s="1" t="s">
        <v>25</v>
      </c>
      <c r="E5" s="1" t="s">
        <v>28</v>
      </c>
      <c r="F5" s="1">
        <v>346675.0</v>
      </c>
      <c r="G5" s="1">
        <v>346678.0</v>
      </c>
      <c r="H5" s="4">
        <f t="shared" si="2"/>
        <v>3</v>
      </c>
      <c r="I5" s="1">
        <v>112.0</v>
      </c>
      <c r="J5" s="1">
        <v>2863.0</v>
      </c>
      <c r="M5" s="2" t="s">
        <v>29</v>
      </c>
    </row>
    <row r="6">
      <c r="A6" s="1" t="s">
        <v>24</v>
      </c>
      <c r="B6" s="3">
        <f>IF(A4="""", """", IF(B4="""", TODAY(), B4))</f>
        <v>46176</v>
      </c>
      <c r="C6" s="1" t="s">
        <v>18</v>
      </c>
      <c r="D6" s="1" t="s">
        <v>25</v>
      </c>
      <c r="E6" s="1" t="s">
        <v>30</v>
      </c>
      <c r="F6" s="1">
        <v>346678.0</v>
      </c>
      <c r="G6" s="1">
        <v>346696.0</v>
      </c>
      <c r="H6" s="4">
        <f t="shared" si="2"/>
        <v>18</v>
      </c>
      <c r="I6" s="1">
        <v>0.0</v>
      </c>
      <c r="J6" s="1">
        <v>300.0</v>
      </c>
      <c r="M6" s="2" t="s">
        <v>29</v>
      </c>
    </row>
    <row r="7">
      <c r="A7" s="1" t="s">
        <v>24</v>
      </c>
      <c r="B7" s="3">
        <f t="shared" ref="B7:B48" si="3">IF(A7="", "", IF(B7="", TODAY(), B7))</f>
        <v>46176</v>
      </c>
      <c r="C7" s="1" t="s">
        <v>18</v>
      </c>
      <c r="D7" s="1" t="s">
        <v>25</v>
      </c>
      <c r="E7" s="1" t="s">
        <v>31</v>
      </c>
      <c r="F7" s="1">
        <v>346696.0</v>
      </c>
      <c r="G7" s="1">
        <v>346705.0</v>
      </c>
      <c r="H7" s="4">
        <f t="shared" si="2"/>
        <v>9</v>
      </c>
      <c r="I7" s="1">
        <v>0.0</v>
      </c>
      <c r="J7" s="1">
        <v>2312.0</v>
      </c>
      <c r="M7" s="2" t="s">
        <v>29</v>
      </c>
    </row>
    <row r="8">
      <c r="A8" s="1" t="s">
        <v>24</v>
      </c>
      <c r="B8" s="3">
        <f t="shared" si="3"/>
        <v>46176</v>
      </c>
      <c r="C8" s="1" t="s">
        <v>18</v>
      </c>
      <c r="D8" s="1" t="s">
        <v>25</v>
      </c>
      <c r="E8" s="1" t="s">
        <v>32</v>
      </c>
      <c r="F8" s="1">
        <v>346705.0</v>
      </c>
      <c r="G8" s="1">
        <v>346716.0</v>
      </c>
      <c r="H8" s="4">
        <f t="shared" si="2"/>
        <v>11</v>
      </c>
      <c r="I8" s="1">
        <v>0.0</v>
      </c>
      <c r="J8" s="1">
        <v>4832.0</v>
      </c>
      <c r="M8" s="2" t="s">
        <v>29</v>
      </c>
    </row>
    <row r="9">
      <c r="A9" s="1" t="s">
        <v>24</v>
      </c>
      <c r="B9" s="3">
        <f t="shared" si="3"/>
        <v>46176</v>
      </c>
      <c r="C9" s="1" t="s">
        <v>18</v>
      </c>
      <c r="D9" s="1" t="s">
        <v>25</v>
      </c>
      <c r="E9" s="1" t="s">
        <v>33</v>
      </c>
      <c r="F9" s="1">
        <v>346716.0</v>
      </c>
      <c r="G9" s="1">
        <v>346750.0</v>
      </c>
      <c r="H9" s="4">
        <f t="shared" si="2"/>
        <v>34</v>
      </c>
      <c r="I9" s="1">
        <v>0.0</v>
      </c>
      <c r="J9" s="1">
        <v>800.0</v>
      </c>
      <c r="M9" s="2" t="s">
        <v>29</v>
      </c>
    </row>
    <row r="10">
      <c r="A10" s="1" t="s">
        <v>24</v>
      </c>
      <c r="B10" s="3">
        <f t="shared" si="3"/>
        <v>46176</v>
      </c>
      <c r="C10" s="1" t="s">
        <v>18</v>
      </c>
      <c r="D10" s="1" t="s">
        <v>25</v>
      </c>
      <c r="E10" s="1" t="s">
        <v>34</v>
      </c>
      <c r="F10" s="1">
        <v>346750.0</v>
      </c>
      <c r="G10" s="1">
        <v>346812.0</v>
      </c>
      <c r="H10" s="4">
        <f t="shared" si="2"/>
        <v>62</v>
      </c>
      <c r="I10" s="1">
        <v>0.0</v>
      </c>
      <c r="J10" s="1">
        <v>419.0</v>
      </c>
      <c r="M10" s="2" t="s">
        <v>29</v>
      </c>
    </row>
    <row r="11">
      <c r="A11" s="1" t="s">
        <v>24</v>
      </c>
      <c r="B11" s="3">
        <f t="shared" si="3"/>
        <v>46176</v>
      </c>
      <c r="C11" s="1" t="s">
        <v>18</v>
      </c>
      <c r="D11" s="1" t="s">
        <v>25</v>
      </c>
      <c r="E11" s="1" t="s">
        <v>35</v>
      </c>
      <c r="F11" s="1">
        <v>346812.0</v>
      </c>
      <c r="G11" s="1">
        <v>346820.0</v>
      </c>
      <c r="H11" s="4">
        <f t="shared" si="2"/>
        <v>8</v>
      </c>
      <c r="I11" s="1">
        <v>0.0</v>
      </c>
      <c r="J11" s="1">
        <v>500.0</v>
      </c>
      <c r="M11" s="2" t="s">
        <v>29</v>
      </c>
    </row>
    <row r="12">
      <c r="A12" s="1" t="s">
        <v>24</v>
      </c>
      <c r="B12" s="3">
        <f t="shared" si="3"/>
        <v>46176</v>
      </c>
      <c r="C12" s="1" t="s">
        <v>22</v>
      </c>
      <c r="D12" s="1" t="s">
        <v>36</v>
      </c>
      <c r="E12" s="1" t="s">
        <v>37</v>
      </c>
      <c r="F12" s="1">
        <v>346820.0</v>
      </c>
      <c r="G12" s="1">
        <v>346873.0</v>
      </c>
      <c r="H12" s="4">
        <f t="shared" si="2"/>
        <v>53</v>
      </c>
      <c r="I12" s="1">
        <v>0.0</v>
      </c>
      <c r="J12" s="1">
        <v>0.0</v>
      </c>
      <c r="M12" s="2" t="s">
        <v>29</v>
      </c>
      <c r="Q12" s="1">
        <v>1.0</v>
      </c>
    </row>
    <row r="13">
      <c r="B13" s="1" t="str">
        <f t="shared" si="3"/>
        <v/>
      </c>
      <c r="C13" s="4"/>
      <c r="D13" s="4"/>
      <c r="H13" s="4">
        <f t="shared" si="2"/>
        <v>0</v>
      </c>
      <c r="I13" s="1">
        <v>0.0</v>
      </c>
      <c r="J13" s="1">
        <v>0.0</v>
      </c>
      <c r="M13" s="2" t="s">
        <v>29</v>
      </c>
    </row>
    <row r="14">
      <c r="B14" s="1" t="str">
        <f t="shared" si="3"/>
        <v/>
      </c>
      <c r="C14" s="4"/>
      <c r="D14" s="4"/>
      <c r="H14" s="4">
        <f t="shared" si="2"/>
        <v>0</v>
      </c>
      <c r="M14" s="2" t="s">
        <v>38</v>
      </c>
    </row>
    <row r="15">
      <c r="B15" s="1" t="str">
        <f t="shared" si="3"/>
        <v/>
      </c>
      <c r="C15" s="4"/>
      <c r="D15" s="4"/>
      <c r="H15" s="4">
        <f t="shared" si="2"/>
        <v>0</v>
      </c>
      <c r="M15" s="2" t="s">
        <v>38</v>
      </c>
    </row>
    <row r="16">
      <c r="B16" s="1" t="str">
        <f t="shared" si="3"/>
        <v/>
      </c>
      <c r="C16" s="4"/>
      <c r="D16" s="4"/>
      <c r="H16" s="4">
        <f t="shared" si="2"/>
        <v>0</v>
      </c>
      <c r="M16" s="2" t="s">
        <v>38</v>
      </c>
    </row>
    <row r="17">
      <c r="B17" s="1" t="str">
        <f t="shared" si="3"/>
        <v/>
      </c>
      <c r="C17" s="4"/>
      <c r="D17" s="4"/>
      <c r="H17" s="4">
        <f t="shared" si="2"/>
        <v>0</v>
      </c>
      <c r="M17" s="2" t="s">
        <v>38</v>
      </c>
    </row>
    <row r="18">
      <c r="B18" s="1" t="str">
        <f t="shared" si="3"/>
        <v/>
      </c>
      <c r="C18" s="4"/>
      <c r="D18" s="4"/>
      <c r="H18" s="4">
        <f t="shared" si="2"/>
        <v>0</v>
      </c>
      <c r="M18" s="2" t="s">
        <v>38</v>
      </c>
    </row>
    <row r="19">
      <c r="B19" s="1" t="str">
        <f t="shared" si="3"/>
        <v/>
      </c>
      <c r="C19" s="4"/>
      <c r="D19" s="4"/>
      <c r="H19" s="4">
        <f t="shared" si="2"/>
        <v>0</v>
      </c>
      <c r="M19" s="2" t="s">
        <v>38</v>
      </c>
    </row>
    <row r="20">
      <c r="B20" s="1" t="str">
        <f t="shared" si="3"/>
        <v/>
      </c>
      <c r="C20" s="4"/>
      <c r="D20" s="4"/>
      <c r="H20" s="4">
        <f t="shared" si="2"/>
        <v>0</v>
      </c>
      <c r="M20" s="2" t="s">
        <v>38</v>
      </c>
    </row>
    <row r="21">
      <c r="B21" s="1" t="str">
        <f t="shared" si="3"/>
        <v/>
      </c>
      <c r="C21" s="4"/>
      <c r="D21" s="4"/>
      <c r="H21" s="4">
        <f t="shared" si="2"/>
        <v>0</v>
      </c>
      <c r="M21" s="2" t="s">
        <v>38</v>
      </c>
    </row>
    <row r="22">
      <c r="B22" s="1" t="str">
        <f t="shared" si="3"/>
        <v/>
      </c>
      <c r="C22" s="4"/>
      <c r="D22" s="4"/>
      <c r="M22" s="2" t="s">
        <v>21</v>
      </c>
    </row>
    <row r="23">
      <c r="B23" s="1" t="str">
        <f t="shared" si="3"/>
        <v/>
      </c>
      <c r="C23" s="4"/>
      <c r="D23" s="4"/>
      <c r="M23" s="2" t="s">
        <v>21</v>
      </c>
    </row>
    <row r="24">
      <c r="B24" s="1" t="str">
        <f t="shared" si="3"/>
        <v/>
      </c>
      <c r="C24" s="4"/>
      <c r="D24" s="4"/>
      <c r="M24" s="2" t="s">
        <v>21</v>
      </c>
    </row>
    <row r="25">
      <c r="B25" s="1" t="str">
        <f t="shared" si="3"/>
        <v/>
      </c>
      <c r="C25" s="4"/>
      <c r="D25" s="4"/>
      <c r="M25" s="2" t="s">
        <v>21</v>
      </c>
    </row>
    <row r="26">
      <c r="B26" s="1" t="str">
        <f t="shared" si="3"/>
        <v/>
      </c>
      <c r="C26" s="4"/>
      <c r="D26" s="4"/>
      <c r="M26" s="2" t="s">
        <v>21</v>
      </c>
    </row>
    <row r="27">
      <c r="B27" s="1" t="str">
        <f t="shared" si="3"/>
        <v/>
      </c>
      <c r="C27" s="4"/>
      <c r="D27" s="4"/>
      <c r="M27" s="2" t="s">
        <v>21</v>
      </c>
    </row>
    <row r="28">
      <c r="B28" s="1" t="str">
        <f t="shared" si="3"/>
        <v/>
      </c>
      <c r="C28" s="4"/>
      <c r="D28" s="4"/>
      <c r="M28" s="2" t="s">
        <v>21</v>
      </c>
    </row>
    <row r="29">
      <c r="B29" s="1" t="str">
        <f t="shared" si="3"/>
        <v/>
      </c>
      <c r="C29" s="4"/>
      <c r="D29" s="4"/>
      <c r="M29" s="2" t="s">
        <v>21</v>
      </c>
    </row>
    <row r="30">
      <c r="B30" s="1" t="str">
        <f t="shared" si="3"/>
        <v/>
      </c>
      <c r="C30" s="4"/>
      <c r="D30" s="4"/>
      <c r="M30" s="2" t="s">
        <v>21</v>
      </c>
    </row>
    <row r="31">
      <c r="B31" s="1" t="str">
        <f t="shared" si="3"/>
        <v/>
      </c>
      <c r="C31" s="4"/>
      <c r="D31" s="4"/>
      <c r="M31" s="2" t="s">
        <v>21</v>
      </c>
    </row>
    <row r="32">
      <c r="B32" s="1" t="str">
        <f t="shared" si="3"/>
        <v/>
      </c>
      <c r="C32" s="4"/>
      <c r="D32" s="4"/>
      <c r="M32" s="2" t="s">
        <v>21</v>
      </c>
    </row>
    <row r="33">
      <c r="B33" s="1" t="str">
        <f t="shared" si="3"/>
        <v/>
      </c>
      <c r="C33" s="4"/>
      <c r="D33" s="4"/>
      <c r="M33" s="2" t="s">
        <v>21</v>
      </c>
    </row>
    <row r="34">
      <c r="B34" s="1" t="str">
        <f t="shared" si="3"/>
        <v/>
      </c>
      <c r="C34" s="4"/>
      <c r="D34" s="4"/>
      <c r="M34" s="2" t="s">
        <v>21</v>
      </c>
    </row>
    <row r="35">
      <c r="B35" s="1" t="str">
        <f t="shared" si="3"/>
        <v/>
      </c>
      <c r="C35" s="4"/>
      <c r="D35" s="4"/>
      <c r="M35" s="2" t="s">
        <v>21</v>
      </c>
    </row>
    <row r="36">
      <c r="B36" s="1" t="str">
        <f t="shared" si="3"/>
        <v/>
      </c>
      <c r="C36" s="4"/>
      <c r="D36" s="4"/>
      <c r="M36" s="2" t="s">
        <v>21</v>
      </c>
    </row>
    <row r="37">
      <c r="B37" s="1" t="str">
        <f t="shared" si="3"/>
        <v/>
      </c>
      <c r="C37" s="4"/>
      <c r="D37" s="4"/>
      <c r="M37" s="2" t="s">
        <v>21</v>
      </c>
    </row>
    <row r="38">
      <c r="B38" s="1" t="str">
        <f t="shared" si="3"/>
        <v/>
      </c>
      <c r="C38" s="4"/>
      <c r="D38" s="4"/>
      <c r="M38" s="2" t="s">
        <v>21</v>
      </c>
    </row>
    <row r="39">
      <c r="B39" s="1" t="str">
        <f t="shared" si="3"/>
        <v/>
      </c>
      <c r="C39" s="4"/>
      <c r="D39" s="4"/>
      <c r="M39" s="2" t="s">
        <v>21</v>
      </c>
    </row>
    <row r="40">
      <c r="B40" s="1" t="str">
        <f t="shared" si="3"/>
        <v/>
      </c>
      <c r="C40" s="4"/>
      <c r="D40" s="4"/>
      <c r="M40" s="2" t="s">
        <v>21</v>
      </c>
    </row>
    <row r="41">
      <c r="B41" s="1" t="str">
        <f t="shared" si="3"/>
        <v/>
      </c>
      <c r="C41" s="4"/>
      <c r="D41" s="4"/>
      <c r="M41" s="2" t="s">
        <v>21</v>
      </c>
    </row>
    <row r="42">
      <c r="B42" s="1" t="str">
        <f t="shared" si="3"/>
        <v/>
      </c>
      <c r="C42" s="4"/>
      <c r="D42" s="4"/>
      <c r="M42" s="2" t="s">
        <v>21</v>
      </c>
    </row>
    <row r="43">
      <c r="B43" s="1" t="str">
        <f t="shared" si="3"/>
        <v/>
      </c>
      <c r="C43" s="4"/>
      <c r="D43" s="4"/>
      <c r="M43" s="2" t="s">
        <v>21</v>
      </c>
    </row>
    <row r="44">
      <c r="B44" s="1" t="str">
        <f t="shared" si="3"/>
        <v/>
      </c>
      <c r="C44" s="4"/>
      <c r="D44" s="4"/>
      <c r="M44" s="2" t="s">
        <v>21</v>
      </c>
    </row>
    <row r="45">
      <c r="B45" s="1" t="str">
        <f t="shared" si="3"/>
        <v/>
      </c>
      <c r="C45" s="4"/>
      <c r="D45" s="4"/>
      <c r="M45" s="2" t="s">
        <v>21</v>
      </c>
    </row>
    <row r="46">
      <c r="B46" s="1" t="str">
        <f t="shared" si="3"/>
        <v/>
      </c>
      <c r="C46" s="4"/>
      <c r="D46" s="4"/>
      <c r="M46" s="2" t="s">
        <v>21</v>
      </c>
    </row>
    <row r="47">
      <c r="B47" s="1" t="str">
        <f t="shared" si="3"/>
        <v/>
      </c>
      <c r="C47" s="4"/>
      <c r="D47" s="4"/>
      <c r="M47" s="2" t="s">
        <v>21</v>
      </c>
    </row>
    <row r="48">
      <c r="B48" s="1" t="str">
        <f t="shared" si="3"/>
        <v/>
      </c>
      <c r="C48" s="4"/>
      <c r="D48" s="4"/>
      <c r="M48" s="2" t="s">
        <v>21</v>
      </c>
    </row>
    <row r="49">
      <c r="C49" s="4"/>
      <c r="D49" s="4"/>
      <c r="M49" s="2" t="s">
        <v>21</v>
      </c>
    </row>
    <row r="50">
      <c r="C50" s="4"/>
      <c r="D50" s="4"/>
      <c r="M50" s="2" t="s">
        <v>21</v>
      </c>
    </row>
    <row r="51">
      <c r="C51" s="4"/>
      <c r="D51" s="4"/>
      <c r="M51" s="2" t="s">
        <v>21</v>
      </c>
    </row>
    <row r="52">
      <c r="C52" s="4"/>
      <c r="D52" s="4"/>
      <c r="M52" s="2" t="s">
        <v>21</v>
      </c>
    </row>
    <row r="53">
      <c r="C53" s="4"/>
      <c r="D53" s="4"/>
      <c r="M53" s="2" t="s">
        <v>21</v>
      </c>
    </row>
    <row r="54">
      <c r="C54" s="4"/>
      <c r="D54" s="4"/>
      <c r="M54" s="2" t="s">
        <v>21</v>
      </c>
    </row>
    <row r="55">
      <c r="C55" s="4"/>
      <c r="D55" s="4"/>
      <c r="M55" s="2" t="s">
        <v>21</v>
      </c>
    </row>
    <row r="56">
      <c r="C56" s="4"/>
      <c r="D56" s="4"/>
      <c r="M56" s="2" t="s">
        <v>21</v>
      </c>
    </row>
    <row r="57">
      <c r="C57" s="4"/>
      <c r="D57" s="4"/>
      <c r="M57" s="2" t="s">
        <v>21</v>
      </c>
    </row>
    <row r="58">
      <c r="C58" s="4"/>
      <c r="D58" s="4"/>
      <c r="M58" s="2" t="s">
        <v>21</v>
      </c>
    </row>
    <row r="59">
      <c r="C59" s="4"/>
      <c r="D59" s="4"/>
      <c r="M59" s="2" t="s">
        <v>21</v>
      </c>
    </row>
    <row r="60">
      <c r="C60" s="4"/>
      <c r="D60" s="4"/>
      <c r="M60" s="2" t="s">
        <v>21</v>
      </c>
    </row>
    <row r="61">
      <c r="C61" s="4"/>
      <c r="D61" s="4"/>
      <c r="M61" s="2" t="s">
        <v>21</v>
      </c>
    </row>
    <row r="62">
      <c r="C62" s="4"/>
      <c r="D62" s="4"/>
      <c r="M62" s="2" t="s">
        <v>21</v>
      </c>
    </row>
    <row r="63">
      <c r="C63" s="4"/>
      <c r="D63" s="4"/>
      <c r="M63" s="2" t="s">
        <v>21</v>
      </c>
    </row>
    <row r="64">
      <c r="C64" s="4"/>
      <c r="D64" s="4"/>
      <c r="M64" s="2" t="s">
        <v>21</v>
      </c>
    </row>
    <row r="65">
      <c r="C65" s="4"/>
      <c r="D65" s="4"/>
      <c r="M65" s="2" t="s">
        <v>21</v>
      </c>
    </row>
    <row r="66">
      <c r="C66" s="4"/>
      <c r="D66" s="4"/>
      <c r="M66" s="2" t="s">
        <v>21</v>
      </c>
    </row>
    <row r="67">
      <c r="C67" s="4"/>
      <c r="D67" s="4"/>
      <c r="M67" s="2" t="s">
        <v>21</v>
      </c>
    </row>
    <row r="68">
      <c r="C68" s="4"/>
      <c r="D68" s="4"/>
      <c r="M68" s="2" t="s">
        <v>21</v>
      </c>
    </row>
    <row r="69">
      <c r="C69" s="4"/>
      <c r="D69" s="4"/>
      <c r="M69" s="2" t="s">
        <v>21</v>
      </c>
    </row>
    <row r="70">
      <c r="C70" s="4"/>
      <c r="D70" s="4"/>
      <c r="M70" s="2" t="s">
        <v>21</v>
      </c>
    </row>
    <row r="71">
      <c r="C71" s="4"/>
      <c r="D71" s="4"/>
      <c r="M71" s="2" t="s">
        <v>21</v>
      </c>
    </row>
    <row r="72">
      <c r="C72" s="4"/>
      <c r="D72" s="4"/>
      <c r="M72" s="2" t="s">
        <v>21</v>
      </c>
    </row>
    <row r="73">
      <c r="C73" s="4"/>
      <c r="D73" s="4"/>
      <c r="M73" s="2" t="s">
        <v>21</v>
      </c>
    </row>
    <row r="74">
      <c r="C74" s="4"/>
      <c r="D74" s="4"/>
      <c r="M74" s="2" t="s">
        <v>21</v>
      </c>
    </row>
    <row r="75">
      <c r="C75" s="4"/>
      <c r="D75" s="4"/>
      <c r="M75" s="2" t="s">
        <v>21</v>
      </c>
    </row>
    <row r="76">
      <c r="C76" s="4"/>
      <c r="D76" s="4"/>
      <c r="M76" s="2" t="s">
        <v>21</v>
      </c>
    </row>
    <row r="77">
      <c r="C77" s="4"/>
      <c r="D77" s="4"/>
      <c r="M77" s="2" t="s">
        <v>21</v>
      </c>
    </row>
    <row r="78">
      <c r="C78" s="4"/>
      <c r="D78" s="4"/>
      <c r="M78" s="2" t="s">
        <v>21</v>
      </c>
    </row>
    <row r="79">
      <c r="C79" s="4"/>
      <c r="D79" s="4"/>
      <c r="M79" s="2" t="s">
        <v>21</v>
      </c>
    </row>
    <row r="80">
      <c r="C80" s="4"/>
      <c r="D80" s="4"/>
      <c r="M80" s="2" t="s">
        <v>21</v>
      </c>
    </row>
    <row r="81">
      <c r="C81" s="4"/>
      <c r="D81" s="4"/>
      <c r="M81" s="2" t="s">
        <v>21</v>
      </c>
    </row>
    <row r="82">
      <c r="C82" s="4"/>
      <c r="D82" s="4"/>
      <c r="M82" s="4"/>
    </row>
    <row r="83">
      <c r="C83" s="4"/>
      <c r="D83" s="4"/>
      <c r="M83" s="4"/>
    </row>
    <row r="84">
      <c r="C84" s="4"/>
      <c r="D84" s="4"/>
      <c r="M84" s="4"/>
    </row>
    <row r="85">
      <c r="C85" s="4"/>
      <c r="D85" s="4"/>
      <c r="M85" s="4"/>
    </row>
    <row r="86">
      <c r="C86" s="4"/>
      <c r="D86" s="4"/>
      <c r="M86" s="4"/>
    </row>
    <row r="87">
      <c r="C87" s="4"/>
      <c r="D87" s="4"/>
      <c r="M87" s="4"/>
    </row>
    <row r="88">
      <c r="C88" s="4"/>
      <c r="D88" s="4"/>
      <c r="M88" s="4"/>
    </row>
    <row r="89">
      <c r="C89" s="4"/>
      <c r="D89" s="4"/>
      <c r="M89" s="4"/>
    </row>
    <row r="90">
      <c r="C90" s="4"/>
      <c r="D90" s="4"/>
      <c r="M90" s="4"/>
    </row>
    <row r="91">
      <c r="C91" s="4"/>
      <c r="D91" s="4"/>
      <c r="M91" s="4"/>
    </row>
    <row r="92">
      <c r="C92" s="4"/>
      <c r="D92" s="4"/>
      <c r="M92" s="4"/>
    </row>
    <row r="93">
      <c r="C93" s="4"/>
      <c r="D93" s="4"/>
      <c r="M93" s="4"/>
    </row>
    <row r="94">
      <c r="C94" s="4"/>
      <c r="D94" s="4"/>
      <c r="M94" s="4"/>
    </row>
    <row r="95">
      <c r="C95" s="4"/>
      <c r="D95" s="4"/>
      <c r="M95" s="4"/>
    </row>
    <row r="96">
      <c r="C96" s="4"/>
      <c r="D96" s="4"/>
      <c r="M96" s="4"/>
    </row>
    <row r="97">
      <c r="C97" s="4"/>
      <c r="D97" s="4"/>
      <c r="M97" s="4"/>
    </row>
    <row r="98">
      <c r="C98" s="4"/>
      <c r="D98" s="4"/>
      <c r="M98" s="4"/>
    </row>
    <row r="99">
      <c r="C99" s="4"/>
      <c r="D99" s="4"/>
      <c r="M99" s="4"/>
    </row>
    <row r="100">
      <c r="C100" s="4"/>
      <c r="D100" s="4"/>
      <c r="M100" s="4"/>
    </row>
    <row r="101">
      <c r="C101" s="4"/>
      <c r="D101" s="4"/>
      <c r="M101" s="4"/>
    </row>
    <row r="102">
      <c r="C102" s="4"/>
      <c r="D102" s="4"/>
      <c r="M102" s="4"/>
    </row>
    <row r="103">
      <c r="C103" s="4"/>
      <c r="D103" s="4"/>
      <c r="M103" s="4"/>
    </row>
    <row r="104">
      <c r="C104" s="4"/>
      <c r="D104" s="4"/>
      <c r="M104" s="4"/>
    </row>
    <row r="105">
      <c r="C105" s="4"/>
      <c r="D105" s="4"/>
      <c r="M105" s="4"/>
    </row>
    <row r="106">
      <c r="C106" s="4"/>
      <c r="D106" s="4"/>
      <c r="M106" s="4"/>
    </row>
    <row r="107">
      <c r="C107" s="4"/>
      <c r="D107" s="4"/>
      <c r="M107" s="4"/>
    </row>
    <row r="108">
      <c r="C108" s="4"/>
      <c r="D108" s="4"/>
      <c r="M108" s="4"/>
    </row>
    <row r="109">
      <c r="C109" s="4"/>
      <c r="D109" s="4"/>
      <c r="M109" s="4"/>
    </row>
    <row r="110">
      <c r="C110" s="4"/>
      <c r="D110" s="4"/>
      <c r="M110" s="4"/>
    </row>
    <row r="111">
      <c r="C111" s="4"/>
      <c r="D111" s="4"/>
      <c r="M111" s="4"/>
    </row>
    <row r="112">
      <c r="C112" s="4"/>
      <c r="D112" s="4"/>
      <c r="M112" s="4"/>
    </row>
    <row r="113">
      <c r="C113" s="4"/>
      <c r="D113" s="4"/>
      <c r="M113" s="4"/>
    </row>
    <row r="114">
      <c r="C114" s="4"/>
      <c r="D114" s="4"/>
      <c r="M114" s="4"/>
    </row>
    <row r="115">
      <c r="C115" s="4"/>
      <c r="D115" s="4"/>
      <c r="M115" s="4"/>
    </row>
    <row r="116">
      <c r="C116" s="4"/>
      <c r="D116" s="4"/>
      <c r="M116" s="4"/>
    </row>
    <row r="117">
      <c r="C117" s="4"/>
      <c r="D117" s="4"/>
      <c r="M117" s="4"/>
    </row>
    <row r="118">
      <c r="C118" s="4"/>
      <c r="D118" s="4"/>
      <c r="M118" s="4"/>
    </row>
    <row r="119">
      <c r="C119" s="4"/>
      <c r="D119" s="4"/>
      <c r="M119" s="4"/>
    </row>
    <row r="120">
      <c r="C120" s="4"/>
      <c r="D120" s="4"/>
      <c r="M120" s="4"/>
    </row>
    <row r="121">
      <c r="C121" s="4"/>
      <c r="D121" s="4"/>
      <c r="M121" s="4"/>
    </row>
    <row r="122">
      <c r="C122" s="4"/>
      <c r="D122" s="4"/>
      <c r="M122" s="4"/>
    </row>
    <row r="123">
      <c r="C123" s="4"/>
      <c r="D123" s="4"/>
      <c r="M123" s="4"/>
    </row>
    <row r="124">
      <c r="C124" s="4"/>
      <c r="D124" s="4"/>
      <c r="M124" s="4"/>
    </row>
    <row r="125">
      <c r="C125" s="4"/>
      <c r="D125" s="4"/>
      <c r="M125" s="4"/>
    </row>
    <row r="126">
      <c r="C126" s="4"/>
      <c r="D126" s="4"/>
      <c r="M126" s="4"/>
    </row>
    <row r="127">
      <c r="C127" s="4"/>
      <c r="D127" s="4"/>
      <c r="M127" s="4"/>
    </row>
    <row r="128">
      <c r="C128" s="4"/>
      <c r="D128" s="4"/>
      <c r="M128" s="4"/>
    </row>
    <row r="129">
      <c r="C129" s="4"/>
      <c r="D129" s="4"/>
      <c r="M129" s="4"/>
    </row>
    <row r="130">
      <c r="C130" s="4"/>
      <c r="D130" s="4"/>
      <c r="M130" s="4"/>
    </row>
    <row r="131">
      <c r="C131" s="4"/>
      <c r="D131" s="4"/>
      <c r="M131" s="4"/>
    </row>
    <row r="132">
      <c r="C132" s="4"/>
      <c r="D132" s="4"/>
      <c r="M132" s="4"/>
    </row>
    <row r="133">
      <c r="C133" s="4"/>
      <c r="D133" s="4"/>
      <c r="M133" s="4"/>
    </row>
    <row r="134">
      <c r="C134" s="4"/>
      <c r="D134" s="4"/>
      <c r="M134" s="4"/>
    </row>
    <row r="135">
      <c r="C135" s="4"/>
      <c r="D135" s="4"/>
      <c r="M135" s="4"/>
    </row>
    <row r="136">
      <c r="C136" s="4"/>
      <c r="D136" s="4"/>
      <c r="M136" s="4"/>
    </row>
    <row r="137">
      <c r="C137" s="4"/>
      <c r="D137" s="4"/>
      <c r="M137" s="4"/>
    </row>
    <row r="138">
      <c r="C138" s="4"/>
      <c r="D138" s="4"/>
      <c r="M138" s="4"/>
    </row>
    <row r="139">
      <c r="C139" s="4"/>
      <c r="D139" s="4"/>
      <c r="M139" s="4"/>
    </row>
    <row r="140">
      <c r="C140" s="4"/>
      <c r="D140" s="4"/>
      <c r="M140" s="4"/>
    </row>
    <row r="141">
      <c r="C141" s="4"/>
      <c r="D141" s="4"/>
      <c r="M141" s="4"/>
    </row>
    <row r="142">
      <c r="C142" s="4"/>
      <c r="D142" s="4"/>
      <c r="M142" s="4"/>
    </row>
    <row r="143">
      <c r="C143" s="4"/>
      <c r="D143" s="4"/>
      <c r="M143" s="4"/>
    </row>
    <row r="144">
      <c r="C144" s="4"/>
      <c r="D144" s="4"/>
      <c r="M144" s="4"/>
    </row>
    <row r="145">
      <c r="C145" s="4"/>
      <c r="D145" s="4"/>
      <c r="M145" s="4"/>
    </row>
    <row r="146">
      <c r="C146" s="4"/>
      <c r="D146" s="4"/>
      <c r="M146" s="4"/>
    </row>
    <row r="147">
      <c r="C147" s="4"/>
      <c r="D147" s="4"/>
      <c r="M147" s="4"/>
    </row>
    <row r="148">
      <c r="C148" s="4"/>
      <c r="D148" s="4"/>
      <c r="M148" s="4"/>
    </row>
    <row r="149">
      <c r="C149" s="4"/>
      <c r="D149" s="4"/>
      <c r="M149" s="4"/>
    </row>
    <row r="150">
      <c r="C150" s="4"/>
      <c r="D150" s="4"/>
      <c r="M150" s="4"/>
    </row>
    <row r="151">
      <c r="C151" s="4"/>
      <c r="D151" s="4"/>
      <c r="M151" s="4"/>
    </row>
    <row r="152">
      <c r="C152" s="4"/>
      <c r="D152" s="4"/>
      <c r="M152" s="4"/>
    </row>
    <row r="153">
      <c r="C153" s="4"/>
      <c r="D153" s="4"/>
      <c r="M153" s="4"/>
    </row>
    <row r="154">
      <c r="C154" s="4"/>
      <c r="D154" s="4"/>
      <c r="M154" s="4"/>
    </row>
    <row r="155">
      <c r="C155" s="4"/>
      <c r="D155" s="4"/>
      <c r="M155" s="4"/>
    </row>
    <row r="156">
      <c r="C156" s="4"/>
      <c r="D156" s="4"/>
      <c r="M156" s="4"/>
    </row>
    <row r="157">
      <c r="C157" s="4"/>
      <c r="D157" s="4"/>
      <c r="M157" s="4"/>
    </row>
    <row r="158">
      <c r="C158" s="4"/>
      <c r="D158" s="4"/>
      <c r="M158" s="4"/>
    </row>
    <row r="159">
      <c r="C159" s="4"/>
      <c r="D159" s="4"/>
      <c r="M159" s="4"/>
    </row>
    <row r="160">
      <c r="C160" s="4"/>
      <c r="D160" s="4"/>
      <c r="M160" s="4"/>
    </row>
    <row r="161">
      <c r="C161" s="4"/>
      <c r="D161" s="4"/>
      <c r="M161" s="4"/>
    </row>
    <row r="162">
      <c r="C162" s="4"/>
      <c r="D162" s="4"/>
      <c r="M162" s="4"/>
    </row>
    <row r="163">
      <c r="C163" s="4"/>
      <c r="D163" s="4"/>
      <c r="M163" s="4"/>
    </row>
    <row r="164">
      <c r="C164" s="4"/>
      <c r="D164" s="4"/>
      <c r="M164" s="4"/>
    </row>
    <row r="165">
      <c r="C165" s="4"/>
      <c r="D165" s="4"/>
      <c r="M165" s="4"/>
    </row>
    <row r="166">
      <c r="C166" s="4"/>
      <c r="D166" s="4"/>
      <c r="M166" s="4"/>
    </row>
    <row r="167">
      <c r="C167" s="4"/>
      <c r="D167" s="4"/>
      <c r="M167" s="4"/>
    </row>
    <row r="168">
      <c r="C168" s="4"/>
      <c r="D168" s="4"/>
      <c r="M168" s="4"/>
    </row>
    <row r="169">
      <c r="C169" s="4"/>
      <c r="D169" s="4"/>
      <c r="M169" s="4"/>
    </row>
    <row r="170">
      <c r="C170" s="4"/>
      <c r="D170" s="4"/>
      <c r="M170" s="4"/>
    </row>
    <row r="171">
      <c r="C171" s="4"/>
      <c r="D171" s="4"/>
      <c r="M171" s="4"/>
    </row>
    <row r="172">
      <c r="C172" s="4"/>
      <c r="D172" s="4"/>
      <c r="M172" s="4"/>
    </row>
    <row r="173">
      <c r="C173" s="4"/>
      <c r="D173" s="4"/>
      <c r="M173" s="4"/>
    </row>
    <row r="174">
      <c r="C174" s="4"/>
      <c r="D174" s="4"/>
      <c r="M174" s="4"/>
    </row>
    <row r="175">
      <c r="C175" s="4"/>
      <c r="D175" s="4"/>
      <c r="M175" s="4"/>
    </row>
    <row r="176">
      <c r="C176" s="4"/>
      <c r="D176" s="4"/>
      <c r="M176" s="4"/>
    </row>
    <row r="177">
      <c r="C177" s="4"/>
      <c r="D177" s="4"/>
      <c r="M177" s="4"/>
    </row>
    <row r="178">
      <c r="C178" s="4"/>
      <c r="D178" s="4"/>
      <c r="M178" s="4"/>
    </row>
    <row r="179">
      <c r="C179" s="4"/>
      <c r="D179" s="4"/>
      <c r="M179" s="4"/>
    </row>
    <row r="180">
      <c r="C180" s="4"/>
      <c r="D180" s="4"/>
      <c r="M180" s="4"/>
    </row>
    <row r="181">
      <c r="C181" s="4"/>
      <c r="D181" s="4"/>
      <c r="M181" s="4"/>
    </row>
    <row r="182">
      <c r="C182" s="4"/>
      <c r="D182" s="4"/>
      <c r="M182" s="4"/>
    </row>
    <row r="183">
      <c r="C183" s="4"/>
      <c r="D183" s="4"/>
      <c r="M183" s="4"/>
    </row>
    <row r="184">
      <c r="C184" s="4"/>
      <c r="D184" s="4"/>
      <c r="M184" s="4"/>
    </row>
    <row r="185">
      <c r="C185" s="4"/>
      <c r="D185" s="4"/>
      <c r="M185" s="4"/>
    </row>
    <row r="186">
      <c r="C186" s="4"/>
      <c r="D186" s="4"/>
      <c r="M186" s="4"/>
    </row>
    <row r="187">
      <c r="C187" s="4"/>
      <c r="D187" s="4"/>
      <c r="M187" s="4"/>
    </row>
    <row r="188">
      <c r="C188" s="4"/>
      <c r="D188" s="4"/>
      <c r="M188" s="4"/>
    </row>
    <row r="189">
      <c r="C189" s="4"/>
      <c r="D189" s="4"/>
      <c r="M189" s="4"/>
    </row>
    <row r="190">
      <c r="C190" s="4"/>
      <c r="D190" s="4"/>
      <c r="M190" s="4"/>
    </row>
    <row r="191">
      <c r="C191" s="4"/>
      <c r="D191" s="4"/>
      <c r="M191" s="4"/>
    </row>
    <row r="192">
      <c r="C192" s="4"/>
      <c r="D192" s="4"/>
      <c r="M192" s="4"/>
    </row>
    <row r="193">
      <c r="C193" s="4"/>
      <c r="D193" s="4"/>
      <c r="M193" s="4"/>
    </row>
    <row r="194">
      <c r="C194" s="4"/>
      <c r="D194" s="4"/>
      <c r="M194" s="4"/>
    </row>
    <row r="195">
      <c r="C195" s="4"/>
      <c r="D195" s="4"/>
      <c r="M195" s="4"/>
    </row>
    <row r="196">
      <c r="C196" s="4"/>
      <c r="D196" s="4"/>
      <c r="M196" s="4"/>
    </row>
    <row r="197">
      <c r="C197" s="4"/>
      <c r="D197" s="4"/>
      <c r="M197" s="4"/>
    </row>
    <row r="198">
      <c r="C198" s="4"/>
      <c r="D198" s="4"/>
      <c r="M198" s="4"/>
    </row>
    <row r="199">
      <c r="C199" s="4"/>
      <c r="D199" s="4"/>
      <c r="M199" s="4"/>
    </row>
    <row r="200">
      <c r="C200" s="4"/>
      <c r="D200" s="4"/>
      <c r="M200" s="4"/>
    </row>
    <row r="201">
      <c r="C201" s="4"/>
      <c r="D201" s="4"/>
      <c r="M201" s="4"/>
    </row>
    <row r="202">
      <c r="C202" s="4"/>
      <c r="D202" s="4"/>
      <c r="M202" s="4"/>
    </row>
    <row r="203">
      <c r="C203" s="4"/>
      <c r="D203" s="4"/>
      <c r="M203" s="4"/>
    </row>
    <row r="204">
      <c r="C204" s="4"/>
      <c r="D204" s="4"/>
      <c r="M204" s="4"/>
    </row>
    <row r="205">
      <c r="C205" s="4"/>
      <c r="D205" s="4"/>
      <c r="M205" s="4"/>
    </row>
    <row r="206">
      <c r="C206" s="4"/>
      <c r="D206" s="4"/>
      <c r="M206" s="4"/>
    </row>
    <row r="207">
      <c r="C207" s="4"/>
      <c r="D207" s="4"/>
      <c r="M207" s="4"/>
    </row>
    <row r="208">
      <c r="C208" s="4"/>
      <c r="D208" s="4"/>
      <c r="M208" s="4"/>
    </row>
    <row r="209">
      <c r="C209" s="4"/>
      <c r="D209" s="4"/>
      <c r="M209" s="4"/>
    </row>
    <row r="210">
      <c r="C210" s="4"/>
      <c r="D210" s="4"/>
      <c r="M210" s="4"/>
    </row>
    <row r="211">
      <c r="C211" s="4"/>
      <c r="D211" s="4"/>
      <c r="M211" s="4"/>
    </row>
    <row r="212">
      <c r="C212" s="4"/>
      <c r="D212" s="4"/>
      <c r="M212" s="4"/>
    </row>
    <row r="213">
      <c r="C213" s="4"/>
      <c r="D213" s="4"/>
      <c r="M213" s="4"/>
    </row>
    <row r="214">
      <c r="C214" s="4"/>
      <c r="D214" s="4"/>
      <c r="M214" s="4"/>
    </row>
    <row r="215">
      <c r="C215" s="4"/>
      <c r="D215" s="4"/>
      <c r="M215" s="4"/>
    </row>
    <row r="216">
      <c r="C216" s="4"/>
      <c r="D216" s="4"/>
      <c r="M216" s="4"/>
    </row>
    <row r="217">
      <c r="C217" s="4"/>
      <c r="D217" s="4"/>
      <c r="M217" s="4"/>
    </row>
    <row r="218">
      <c r="C218" s="4"/>
      <c r="D218" s="4"/>
      <c r="M218" s="4"/>
    </row>
    <row r="219">
      <c r="C219" s="4"/>
      <c r="D219" s="4"/>
      <c r="M219" s="4"/>
    </row>
    <row r="220">
      <c r="C220" s="4"/>
      <c r="D220" s="4"/>
      <c r="M220" s="4"/>
    </row>
    <row r="221">
      <c r="C221" s="4"/>
      <c r="D221" s="4"/>
      <c r="M221" s="4"/>
    </row>
    <row r="222">
      <c r="C222" s="4"/>
      <c r="D222" s="4"/>
      <c r="M222" s="4"/>
    </row>
    <row r="223">
      <c r="C223" s="4"/>
      <c r="D223" s="4"/>
      <c r="M223" s="4"/>
    </row>
    <row r="224">
      <c r="C224" s="4"/>
      <c r="D224" s="4"/>
      <c r="M224" s="4"/>
    </row>
    <row r="225">
      <c r="C225" s="4"/>
      <c r="D225" s="4"/>
      <c r="M225" s="4"/>
    </row>
    <row r="226">
      <c r="C226" s="4"/>
      <c r="D226" s="4"/>
      <c r="M226" s="4"/>
    </row>
    <row r="227">
      <c r="C227" s="4"/>
      <c r="D227" s="4"/>
      <c r="M227" s="4"/>
    </row>
    <row r="228">
      <c r="C228" s="4"/>
      <c r="D228" s="4"/>
      <c r="M228" s="4"/>
    </row>
    <row r="229">
      <c r="C229" s="4"/>
      <c r="D229" s="4"/>
      <c r="M229" s="4"/>
    </row>
    <row r="230">
      <c r="C230" s="4"/>
      <c r="D230" s="4"/>
      <c r="M230" s="4"/>
    </row>
    <row r="231">
      <c r="C231" s="4"/>
      <c r="D231" s="4"/>
      <c r="M231" s="4"/>
    </row>
    <row r="232">
      <c r="C232" s="4"/>
      <c r="D232" s="4"/>
      <c r="M232" s="4"/>
    </row>
    <row r="233">
      <c r="C233" s="4"/>
      <c r="D233" s="4"/>
      <c r="M233" s="4"/>
    </row>
    <row r="234">
      <c r="C234" s="4"/>
      <c r="D234" s="4"/>
      <c r="M234" s="4"/>
    </row>
    <row r="235">
      <c r="C235" s="4"/>
      <c r="D235" s="4"/>
      <c r="M235" s="4"/>
    </row>
    <row r="236">
      <c r="C236" s="4"/>
      <c r="D236" s="4"/>
      <c r="M236" s="4"/>
    </row>
    <row r="237">
      <c r="C237" s="4"/>
      <c r="D237" s="4"/>
      <c r="M237" s="4"/>
    </row>
    <row r="238">
      <c r="C238" s="4"/>
      <c r="D238" s="4"/>
      <c r="M238" s="4"/>
    </row>
    <row r="239">
      <c r="C239" s="4"/>
      <c r="D239" s="4"/>
      <c r="M239" s="4"/>
    </row>
    <row r="240">
      <c r="C240" s="4"/>
      <c r="D240" s="4"/>
      <c r="M240" s="4"/>
    </row>
    <row r="241">
      <c r="C241" s="4"/>
      <c r="D241" s="4"/>
      <c r="M241" s="4"/>
    </row>
    <row r="242">
      <c r="C242" s="4"/>
      <c r="D242" s="4"/>
      <c r="M242" s="4"/>
    </row>
    <row r="243">
      <c r="C243" s="4"/>
      <c r="D243" s="4"/>
      <c r="M243" s="4"/>
    </row>
    <row r="244">
      <c r="C244" s="4"/>
      <c r="D244" s="4"/>
      <c r="M244" s="4"/>
    </row>
    <row r="245">
      <c r="C245" s="4"/>
      <c r="D245" s="4"/>
      <c r="M245" s="4"/>
    </row>
    <row r="246">
      <c r="C246" s="4"/>
      <c r="D246" s="4"/>
      <c r="M246" s="4"/>
    </row>
    <row r="247">
      <c r="C247" s="4"/>
      <c r="D247" s="4"/>
      <c r="M247" s="4"/>
    </row>
    <row r="248">
      <c r="C248" s="4"/>
      <c r="D248" s="4"/>
      <c r="M248" s="4"/>
    </row>
    <row r="249">
      <c r="C249" s="4"/>
      <c r="D249" s="4"/>
      <c r="M249" s="4"/>
    </row>
    <row r="250">
      <c r="C250" s="4"/>
      <c r="D250" s="4"/>
      <c r="M250" s="4"/>
    </row>
    <row r="251">
      <c r="C251" s="4"/>
      <c r="D251" s="4"/>
      <c r="M251" s="4"/>
    </row>
    <row r="252">
      <c r="C252" s="4"/>
      <c r="D252" s="4"/>
      <c r="M252" s="4"/>
    </row>
    <row r="253">
      <c r="C253" s="4"/>
      <c r="D253" s="4"/>
      <c r="M253" s="4"/>
    </row>
    <row r="254">
      <c r="C254" s="4"/>
      <c r="D254" s="4"/>
      <c r="M254" s="4"/>
    </row>
    <row r="255">
      <c r="C255" s="4"/>
      <c r="D255" s="4"/>
      <c r="M255" s="4"/>
    </row>
    <row r="256">
      <c r="C256" s="4"/>
      <c r="D256" s="4"/>
      <c r="M256" s="4"/>
    </row>
    <row r="257">
      <c r="C257" s="4"/>
      <c r="D257" s="4"/>
      <c r="M257" s="4"/>
    </row>
    <row r="258">
      <c r="C258" s="4"/>
      <c r="D258" s="4"/>
      <c r="M258" s="4"/>
    </row>
    <row r="259">
      <c r="C259" s="4"/>
      <c r="D259" s="4"/>
      <c r="M259" s="4"/>
    </row>
    <row r="260">
      <c r="C260" s="4"/>
      <c r="D260" s="4"/>
      <c r="M260" s="4"/>
    </row>
    <row r="261">
      <c r="C261" s="4"/>
      <c r="D261" s="4"/>
      <c r="M261" s="4"/>
    </row>
    <row r="262">
      <c r="C262" s="4"/>
      <c r="D262" s="4"/>
      <c r="M262" s="4"/>
    </row>
    <row r="263">
      <c r="C263" s="4"/>
      <c r="D263" s="4"/>
      <c r="M263" s="4"/>
    </row>
    <row r="264">
      <c r="C264" s="4"/>
      <c r="D264" s="4"/>
      <c r="M264" s="4"/>
    </row>
    <row r="265">
      <c r="C265" s="4"/>
      <c r="D265" s="4"/>
      <c r="M265" s="4"/>
    </row>
    <row r="266">
      <c r="C266" s="4"/>
      <c r="D266" s="4"/>
      <c r="M266" s="4"/>
    </row>
    <row r="267">
      <c r="C267" s="4"/>
      <c r="D267" s="4"/>
      <c r="M267" s="4"/>
    </row>
    <row r="268">
      <c r="C268" s="4"/>
      <c r="D268" s="4"/>
      <c r="M268" s="4"/>
    </row>
    <row r="269">
      <c r="C269" s="4"/>
      <c r="D269" s="4"/>
      <c r="M269" s="4"/>
    </row>
    <row r="270">
      <c r="C270" s="4"/>
      <c r="D270" s="4"/>
      <c r="M270" s="4"/>
    </row>
    <row r="271">
      <c r="C271" s="4"/>
      <c r="D271" s="4"/>
      <c r="M271" s="4"/>
    </row>
    <row r="272">
      <c r="C272" s="4"/>
      <c r="D272" s="4"/>
      <c r="M272" s="4"/>
    </row>
    <row r="273">
      <c r="C273" s="4"/>
      <c r="D273" s="4"/>
      <c r="M273" s="4"/>
    </row>
    <row r="274">
      <c r="C274" s="4"/>
      <c r="D274" s="4"/>
      <c r="M274" s="4"/>
    </row>
    <row r="275">
      <c r="C275" s="4"/>
      <c r="D275" s="4"/>
      <c r="M275" s="4"/>
    </row>
    <row r="276">
      <c r="C276" s="4"/>
      <c r="D276" s="4"/>
      <c r="M276" s="4"/>
    </row>
    <row r="277">
      <c r="C277" s="4"/>
      <c r="D277" s="4"/>
      <c r="M277" s="4"/>
    </row>
    <row r="278">
      <c r="C278" s="4"/>
      <c r="D278" s="4"/>
      <c r="M278" s="4"/>
    </row>
    <row r="279">
      <c r="C279" s="4"/>
      <c r="D279" s="4"/>
      <c r="M279" s="4"/>
    </row>
    <row r="280">
      <c r="C280" s="4"/>
      <c r="D280" s="4"/>
      <c r="M280" s="4"/>
    </row>
    <row r="281">
      <c r="C281" s="4"/>
      <c r="D281" s="4"/>
      <c r="M281" s="4"/>
    </row>
    <row r="282">
      <c r="C282" s="4"/>
      <c r="D282" s="4"/>
      <c r="M282" s="4"/>
    </row>
    <row r="283">
      <c r="C283" s="4"/>
      <c r="D283" s="4"/>
      <c r="M283" s="4"/>
    </row>
    <row r="284">
      <c r="C284" s="4"/>
      <c r="D284" s="4"/>
      <c r="M284" s="4"/>
    </row>
    <row r="285">
      <c r="C285" s="4"/>
      <c r="D285" s="4"/>
      <c r="M285" s="4"/>
    </row>
    <row r="286">
      <c r="C286" s="4"/>
      <c r="D286" s="4"/>
      <c r="M286" s="4"/>
    </row>
    <row r="287">
      <c r="C287" s="4"/>
      <c r="D287" s="4"/>
      <c r="M287" s="4"/>
    </row>
    <row r="288">
      <c r="C288" s="4"/>
      <c r="D288" s="4"/>
      <c r="M288" s="4"/>
    </row>
    <row r="289">
      <c r="C289" s="4"/>
      <c r="D289" s="4"/>
      <c r="M289" s="4"/>
    </row>
    <row r="290">
      <c r="C290" s="4"/>
      <c r="D290" s="4"/>
      <c r="M290" s="4"/>
    </row>
    <row r="291">
      <c r="C291" s="4"/>
      <c r="D291" s="4"/>
      <c r="M291" s="4"/>
    </row>
    <row r="292">
      <c r="C292" s="4"/>
      <c r="D292" s="4"/>
      <c r="M292" s="4"/>
    </row>
    <row r="293">
      <c r="C293" s="4"/>
      <c r="D293" s="4"/>
      <c r="M293" s="4"/>
    </row>
    <row r="294">
      <c r="C294" s="4"/>
      <c r="D294" s="4"/>
      <c r="M294" s="4"/>
    </row>
    <row r="295">
      <c r="C295" s="4"/>
      <c r="D295" s="4"/>
      <c r="M295" s="4"/>
    </row>
    <row r="296">
      <c r="C296" s="4"/>
      <c r="D296" s="4"/>
      <c r="M296" s="4"/>
    </row>
    <row r="297">
      <c r="C297" s="4"/>
      <c r="D297" s="4"/>
      <c r="M297" s="4"/>
    </row>
    <row r="298">
      <c r="C298" s="4"/>
      <c r="D298" s="4"/>
      <c r="M298" s="4"/>
    </row>
    <row r="299">
      <c r="C299" s="4"/>
      <c r="D299" s="4"/>
      <c r="M299" s="4"/>
    </row>
    <row r="300">
      <c r="C300" s="4"/>
      <c r="D300" s="4"/>
      <c r="M300" s="4"/>
    </row>
    <row r="301">
      <c r="C301" s="4"/>
      <c r="D301" s="4"/>
      <c r="M301" s="4"/>
    </row>
    <row r="302">
      <c r="C302" s="4"/>
      <c r="D302" s="4"/>
      <c r="M302" s="4"/>
    </row>
    <row r="303">
      <c r="C303" s="4"/>
      <c r="D303" s="4"/>
      <c r="M303" s="4"/>
    </row>
    <row r="304">
      <c r="C304" s="4"/>
      <c r="D304" s="4"/>
      <c r="M304" s="4"/>
    </row>
    <row r="305">
      <c r="C305" s="4"/>
      <c r="D305" s="4"/>
      <c r="M305" s="4"/>
    </row>
    <row r="306">
      <c r="C306" s="4"/>
      <c r="D306" s="4"/>
      <c r="M306" s="4"/>
    </row>
    <row r="307">
      <c r="C307" s="4"/>
      <c r="D307" s="4"/>
      <c r="M307" s="4"/>
    </row>
    <row r="308">
      <c r="C308" s="4"/>
      <c r="D308" s="4"/>
      <c r="M308" s="4"/>
    </row>
    <row r="309">
      <c r="C309" s="4"/>
      <c r="D309" s="4"/>
      <c r="M309" s="4"/>
    </row>
    <row r="310">
      <c r="C310" s="4"/>
      <c r="D310" s="4"/>
      <c r="M310" s="4"/>
    </row>
    <row r="311">
      <c r="C311" s="4"/>
      <c r="D311" s="4"/>
      <c r="M311" s="4"/>
    </row>
    <row r="312">
      <c r="C312" s="4"/>
      <c r="D312" s="4"/>
      <c r="M312" s="4"/>
    </row>
    <row r="313">
      <c r="C313" s="4"/>
      <c r="D313" s="4"/>
      <c r="M313" s="4"/>
    </row>
    <row r="314">
      <c r="C314" s="4"/>
      <c r="D314" s="4"/>
      <c r="M314" s="4"/>
    </row>
    <row r="315">
      <c r="C315" s="4"/>
      <c r="D315" s="4"/>
      <c r="M315" s="4"/>
    </row>
    <row r="316">
      <c r="C316" s="4"/>
      <c r="D316" s="4"/>
      <c r="M316" s="4"/>
    </row>
    <row r="317">
      <c r="C317" s="4"/>
      <c r="D317" s="4"/>
      <c r="M317" s="4"/>
    </row>
    <row r="318">
      <c r="C318" s="4"/>
      <c r="D318" s="4"/>
      <c r="M318" s="4"/>
    </row>
    <row r="319">
      <c r="C319" s="4"/>
      <c r="D319" s="4"/>
      <c r="M319" s="4"/>
    </row>
    <row r="320">
      <c r="C320" s="4"/>
      <c r="D320" s="4"/>
      <c r="M320" s="4"/>
    </row>
    <row r="321">
      <c r="C321" s="4"/>
      <c r="D321" s="4"/>
      <c r="M321" s="4"/>
    </row>
    <row r="322">
      <c r="C322" s="4"/>
      <c r="D322" s="4"/>
      <c r="M322" s="4"/>
    </row>
    <row r="323">
      <c r="C323" s="4"/>
      <c r="D323" s="4"/>
      <c r="M323" s="4"/>
    </row>
    <row r="324">
      <c r="C324" s="4"/>
      <c r="D324" s="4"/>
      <c r="M324" s="4"/>
    </row>
    <row r="325">
      <c r="C325" s="4"/>
      <c r="D325" s="4"/>
      <c r="M325" s="4"/>
    </row>
    <row r="326">
      <c r="C326" s="4"/>
      <c r="D326" s="4"/>
      <c r="M326" s="4"/>
    </row>
    <row r="327">
      <c r="C327" s="4"/>
      <c r="D327" s="4"/>
      <c r="M327" s="4"/>
    </row>
    <row r="328">
      <c r="C328" s="4"/>
      <c r="D328" s="4"/>
      <c r="M328" s="4"/>
    </row>
    <row r="329">
      <c r="C329" s="4"/>
      <c r="D329" s="4"/>
      <c r="M329" s="4"/>
    </row>
    <row r="330">
      <c r="C330" s="4"/>
      <c r="D330" s="4"/>
      <c r="M330" s="4"/>
    </row>
    <row r="331">
      <c r="C331" s="4"/>
      <c r="D331" s="4"/>
      <c r="M331" s="4"/>
    </row>
    <row r="332">
      <c r="C332" s="4"/>
      <c r="D332" s="4"/>
      <c r="M332" s="4"/>
    </row>
    <row r="333">
      <c r="C333" s="4"/>
      <c r="D333" s="4"/>
      <c r="M333" s="4"/>
    </row>
    <row r="334">
      <c r="C334" s="4"/>
      <c r="D334" s="4"/>
      <c r="M334" s="4"/>
    </row>
    <row r="335">
      <c r="C335" s="4"/>
      <c r="D335" s="4"/>
      <c r="M335" s="4"/>
    </row>
    <row r="336">
      <c r="C336" s="4"/>
      <c r="D336" s="4"/>
      <c r="M336" s="4"/>
    </row>
    <row r="337">
      <c r="C337" s="4"/>
      <c r="D337" s="4"/>
      <c r="M337" s="4"/>
    </row>
    <row r="338">
      <c r="C338" s="4"/>
      <c r="D338" s="4"/>
      <c r="M338" s="4"/>
    </row>
    <row r="339">
      <c r="C339" s="4"/>
      <c r="D339" s="4"/>
      <c r="M339" s="4"/>
    </row>
    <row r="340">
      <c r="C340" s="4"/>
      <c r="D340" s="4"/>
      <c r="M340" s="4"/>
    </row>
    <row r="341">
      <c r="C341" s="4"/>
      <c r="D341" s="4"/>
      <c r="M341" s="4"/>
    </row>
    <row r="342">
      <c r="C342" s="4"/>
      <c r="D342" s="4"/>
      <c r="M342" s="4"/>
    </row>
    <row r="343">
      <c r="C343" s="4"/>
      <c r="D343" s="4"/>
      <c r="M343" s="4"/>
    </row>
    <row r="344">
      <c r="C344" s="4"/>
      <c r="D344" s="4"/>
      <c r="M344" s="4"/>
    </row>
    <row r="345">
      <c r="C345" s="4"/>
      <c r="D345" s="4"/>
      <c r="M345" s="4"/>
    </row>
    <row r="346">
      <c r="C346" s="4"/>
      <c r="D346" s="4"/>
      <c r="M346" s="4"/>
    </row>
    <row r="347">
      <c r="C347" s="4"/>
      <c r="D347" s="4"/>
      <c r="M347" s="4"/>
    </row>
    <row r="348">
      <c r="C348" s="4"/>
      <c r="D348" s="4"/>
      <c r="M348" s="4"/>
    </row>
    <row r="349">
      <c r="C349" s="4"/>
      <c r="D349" s="4"/>
      <c r="M349" s="4"/>
    </row>
    <row r="350">
      <c r="C350" s="4"/>
      <c r="D350" s="4"/>
      <c r="M350" s="4"/>
    </row>
    <row r="351">
      <c r="C351" s="4"/>
      <c r="D351" s="4"/>
      <c r="M351" s="4"/>
    </row>
    <row r="352">
      <c r="C352" s="4"/>
      <c r="D352" s="4"/>
      <c r="M352" s="4"/>
    </row>
    <row r="353">
      <c r="C353" s="4"/>
      <c r="D353" s="4"/>
      <c r="M353" s="4"/>
    </row>
    <row r="354">
      <c r="C354" s="4"/>
      <c r="D354" s="4"/>
      <c r="M354" s="4"/>
    </row>
    <row r="355">
      <c r="C355" s="4"/>
      <c r="D355" s="4"/>
      <c r="M355" s="4"/>
    </row>
    <row r="356">
      <c r="C356" s="4"/>
      <c r="D356" s="4"/>
      <c r="M356" s="4"/>
    </row>
    <row r="357">
      <c r="C357" s="4"/>
      <c r="D357" s="4"/>
      <c r="M357" s="4"/>
    </row>
    <row r="358">
      <c r="C358" s="4"/>
      <c r="D358" s="4"/>
      <c r="M358" s="4"/>
    </row>
    <row r="359">
      <c r="C359" s="4"/>
      <c r="D359" s="4"/>
      <c r="M359" s="4"/>
    </row>
    <row r="360">
      <c r="C360" s="4"/>
      <c r="D360" s="4"/>
      <c r="M360" s="4"/>
    </row>
    <row r="361">
      <c r="C361" s="4"/>
      <c r="D361" s="4"/>
      <c r="M361" s="4"/>
    </row>
    <row r="362">
      <c r="C362" s="4"/>
      <c r="D362" s="4"/>
      <c r="M362" s="4"/>
    </row>
    <row r="363">
      <c r="C363" s="4"/>
      <c r="D363" s="4"/>
      <c r="M363" s="4"/>
    </row>
    <row r="364">
      <c r="C364" s="4"/>
      <c r="D364" s="4"/>
      <c r="M364" s="4"/>
    </row>
    <row r="365">
      <c r="C365" s="4"/>
      <c r="D365" s="4"/>
      <c r="M365" s="4"/>
    </row>
    <row r="366">
      <c r="C366" s="4"/>
      <c r="D366" s="4"/>
      <c r="M366" s="4"/>
    </row>
    <row r="367">
      <c r="C367" s="4"/>
      <c r="D367" s="4"/>
      <c r="M367" s="4"/>
    </row>
    <row r="368">
      <c r="C368" s="4"/>
      <c r="D368" s="4"/>
      <c r="M368" s="4"/>
    </row>
    <row r="369">
      <c r="C369" s="4"/>
      <c r="D369" s="4"/>
      <c r="M369" s="4"/>
    </row>
    <row r="370">
      <c r="C370" s="4"/>
      <c r="D370" s="4"/>
      <c r="M370" s="4"/>
    </row>
    <row r="371">
      <c r="C371" s="4"/>
      <c r="D371" s="4"/>
      <c r="M371" s="4"/>
    </row>
    <row r="372">
      <c r="C372" s="4"/>
      <c r="D372" s="4"/>
      <c r="M372" s="4"/>
    </row>
    <row r="373">
      <c r="C373" s="4"/>
      <c r="D373" s="4"/>
      <c r="M373" s="4"/>
    </row>
    <row r="374">
      <c r="C374" s="4"/>
      <c r="D374" s="4"/>
      <c r="M374" s="4"/>
    </row>
    <row r="375">
      <c r="C375" s="4"/>
      <c r="D375" s="4"/>
      <c r="M375" s="4"/>
    </row>
    <row r="376">
      <c r="C376" s="4"/>
      <c r="D376" s="4"/>
      <c r="M376" s="4"/>
    </row>
    <row r="377">
      <c r="C377" s="4"/>
      <c r="D377" s="4"/>
      <c r="M377" s="4"/>
    </row>
    <row r="378">
      <c r="C378" s="4"/>
      <c r="D378" s="4"/>
      <c r="M378" s="4"/>
    </row>
    <row r="379">
      <c r="C379" s="4"/>
      <c r="D379" s="4"/>
      <c r="M379" s="4"/>
    </row>
    <row r="380">
      <c r="C380" s="4"/>
      <c r="D380" s="4"/>
      <c r="M380" s="4"/>
    </row>
    <row r="381">
      <c r="C381" s="4"/>
      <c r="D381" s="4"/>
      <c r="M381" s="4"/>
    </row>
    <row r="382">
      <c r="C382" s="4"/>
      <c r="D382" s="4"/>
      <c r="M382" s="4"/>
    </row>
    <row r="383">
      <c r="C383" s="4"/>
      <c r="D383" s="4"/>
      <c r="M383" s="4"/>
    </row>
    <row r="384">
      <c r="C384" s="4"/>
      <c r="D384" s="4"/>
      <c r="M384" s="4"/>
    </row>
    <row r="385">
      <c r="C385" s="4"/>
      <c r="D385" s="4"/>
      <c r="M385" s="4"/>
    </row>
    <row r="386">
      <c r="C386" s="4"/>
      <c r="D386" s="4"/>
      <c r="M386" s="4"/>
    </row>
    <row r="387">
      <c r="C387" s="4"/>
      <c r="D387" s="4"/>
      <c r="M387" s="4"/>
    </row>
    <row r="388">
      <c r="C388" s="4"/>
      <c r="D388" s="4"/>
      <c r="M388" s="4"/>
    </row>
    <row r="389">
      <c r="C389" s="4"/>
      <c r="D389" s="4"/>
      <c r="M389" s="4"/>
    </row>
    <row r="390">
      <c r="C390" s="4"/>
      <c r="D390" s="4"/>
      <c r="M390" s="4"/>
    </row>
    <row r="391">
      <c r="C391" s="4"/>
      <c r="D391" s="4"/>
      <c r="M391" s="4"/>
    </row>
    <row r="392">
      <c r="C392" s="4"/>
      <c r="D392" s="4"/>
      <c r="M392" s="4"/>
    </row>
    <row r="393">
      <c r="C393" s="4"/>
      <c r="D393" s="4"/>
      <c r="M393" s="4"/>
    </row>
    <row r="394">
      <c r="C394" s="4"/>
      <c r="D394" s="4"/>
      <c r="M394" s="4"/>
    </row>
    <row r="395">
      <c r="C395" s="4"/>
      <c r="D395" s="4"/>
      <c r="M395" s="4"/>
    </row>
    <row r="396">
      <c r="C396" s="4"/>
      <c r="D396" s="4"/>
      <c r="M396" s="4"/>
    </row>
    <row r="397">
      <c r="C397" s="4"/>
      <c r="D397" s="4"/>
      <c r="M397" s="4"/>
    </row>
    <row r="398">
      <c r="C398" s="4"/>
      <c r="D398" s="4"/>
      <c r="M398" s="4"/>
    </row>
    <row r="399">
      <c r="C399" s="4"/>
      <c r="D399" s="4"/>
      <c r="M399" s="4"/>
    </row>
    <row r="400">
      <c r="C400" s="4"/>
      <c r="D400" s="4"/>
      <c r="M400" s="4"/>
    </row>
    <row r="401">
      <c r="C401" s="4"/>
      <c r="D401" s="4"/>
      <c r="M401" s="4"/>
    </row>
    <row r="402">
      <c r="C402" s="4"/>
      <c r="D402" s="4"/>
      <c r="M402" s="4"/>
    </row>
    <row r="403">
      <c r="C403" s="4"/>
      <c r="D403" s="4"/>
      <c r="M403" s="4"/>
    </row>
    <row r="404">
      <c r="C404" s="4"/>
      <c r="D404" s="4"/>
      <c r="M404" s="4"/>
    </row>
    <row r="405">
      <c r="C405" s="4"/>
      <c r="D405" s="4"/>
      <c r="M405" s="4"/>
    </row>
    <row r="406">
      <c r="C406" s="4"/>
      <c r="D406" s="4"/>
      <c r="M406" s="4"/>
    </row>
    <row r="407">
      <c r="C407" s="4"/>
      <c r="D407" s="4"/>
      <c r="M407" s="4"/>
    </row>
    <row r="408">
      <c r="C408" s="4"/>
      <c r="D408" s="4"/>
      <c r="M408" s="4"/>
    </row>
    <row r="409">
      <c r="C409" s="4"/>
      <c r="D409" s="4"/>
      <c r="M409" s="4"/>
    </row>
    <row r="410">
      <c r="C410" s="4"/>
      <c r="D410" s="4"/>
      <c r="M410" s="4"/>
    </row>
    <row r="411">
      <c r="C411" s="4"/>
      <c r="D411" s="4"/>
      <c r="M411" s="4"/>
    </row>
    <row r="412">
      <c r="C412" s="4"/>
      <c r="D412" s="4"/>
      <c r="M412" s="4"/>
    </row>
    <row r="413">
      <c r="C413" s="4"/>
      <c r="D413" s="4"/>
      <c r="M413" s="4"/>
    </row>
    <row r="414">
      <c r="C414" s="4"/>
      <c r="D414" s="4"/>
      <c r="M414" s="4"/>
    </row>
    <row r="415">
      <c r="C415" s="4"/>
      <c r="D415" s="4"/>
      <c r="M415" s="4"/>
    </row>
    <row r="416">
      <c r="C416" s="4"/>
      <c r="D416" s="4"/>
      <c r="M416" s="4"/>
    </row>
    <row r="417">
      <c r="C417" s="4"/>
      <c r="D417" s="4"/>
      <c r="M417" s="4"/>
    </row>
    <row r="418">
      <c r="C418" s="4"/>
      <c r="D418" s="4"/>
      <c r="M418" s="4"/>
    </row>
    <row r="419">
      <c r="C419" s="4"/>
      <c r="D419" s="4"/>
      <c r="M419" s="4"/>
    </row>
    <row r="420">
      <c r="C420" s="4"/>
      <c r="D420" s="4"/>
      <c r="M420" s="4"/>
    </row>
    <row r="421">
      <c r="C421" s="4"/>
      <c r="D421" s="4"/>
      <c r="M421" s="4"/>
    </row>
    <row r="422">
      <c r="C422" s="4"/>
      <c r="D422" s="4"/>
      <c r="M422" s="4"/>
    </row>
    <row r="423">
      <c r="C423" s="4"/>
      <c r="D423" s="4"/>
      <c r="M423" s="4"/>
    </row>
    <row r="424">
      <c r="C424" s="4"/>
      <c r="D424" s="4"/>
      <c r="M424" s="4"/>
    </row>
    <row r="425">
      <c r="C425" s="4"/>
      <c r="D425" s="4"/>
      <c r="M425" s="4"/>
    </row>
    <row r="426">
      <c r="C426" s="4"/>
      <c r="D426" s="4"/>
      <c r="M426" s="4"/>
    </row>
    <row r="427">
      <c r="C427" s="4"/>
      <c r="D427" s="4"/>
      <c r="M427" s="4"/>
    </row>
    <row r="428">
      <c r="C428" s="4"/>
      <c r="D428" s="4"/>
      <c r="M428" s="4"/>
    </row>
    <row r="429">
      <c r="C429" s="4"/>
      <c r="D429" s="4"/>
      <c r="M429" s="4"/>
    </row>
    <row r="430">
      <c r="C430" s="4"/>
      <c r="D430" s="4"/>
      <c r="M430" s="4"/>
    </row>
    <row r="431">
      <c r="C431" s="4"/>
      <c r="D431" s="4"/>
      <c r="M431" s="4"/>
    </row>
    <row r="432">
      <c r="C432" s="4"/>
      <c r="D432" s="4"/>
      <c r="M432" s="4"/>
    </row>
    <row r="433">
      <c r="C433" s="4"/>
      <c r="D433" s="4"/>
      <c r="M433" s="4"/>
    </row>
    <row r="434">
      <c r="C434" s="4"/>
      <c r="D434" s="4"/>
      <c r="M434" s="4"/>
    </row>
    <row r="435">
      <c r="C435" s="4"/>
      <c r="D435" s="4"/>
      <c r="M435" s="4"/>
    </row>
    <row r="436">
      <c r="C436" s="4"/>
      <c r="D436" s="4"/>
      <c r="M436" s="4"/>
    </row>
    <row r="437">
      <c r="C437" s="4"/>
      <c r="D437" s="4"/>
      <c r="M437" s="4"/>
    </row>
    <row r="438">
      <c r="C438" s="4"/>
      <c r="D438" s="4"/>
      <c r="M438" s="4"/>
    </row>
    <row r="439">
      <c r="C439" s="4"/>
      <c r="D439" s="4"/>
      <c r="M439" s="4"/>
    </row>
    <row r="440">
      <c r="C440" s="4"/>
      <c r="D440" s="4"/>
      <c r="M440" s="4"/>
    </row>
    <row r="441">
      <c r="C441" s="4"/>
      <c r="D441" s="4"/>
      <c r="M441" s="4"/>
    </row>
    <row r="442">
      <c r="C442" s="4"/>
      <c r="D442" s="4"/>
      <c r="M442" s="4"/>
    </row>
    <row r="443">
      <c r="C443" s="4"/>
      <c r="D443" s="4"/>
      <c r="M443" s="4"/>
    </row>
    <row r="444">
      <c r="C444" s="4"/>
      <c r="D444" s="4"/>
      <c r="M444" s="4"/>
    </row>
    <row r="445">
      <c r="C445" s="4"/>
      <c r="D445" s="4"/>
      <c r="M445" s="4"/>
    </row>
    <row r="446">
      <c r="C446" s="4"/>
      <c r="D446" s="4"/>
      <c r="M446" s="4"/>
    </row>
    <row r="447">
      <c r="C447" s="4"/>
      <c r="D447" s="4"/>
      <c r="M447" s="4"/>
    </row>
    <row r="448">
      <c r="C448" s="4"/>
      <c r="D448" s="4"/>
      <c r="M448" s="4"/>
    </row>
    <row r="449">
      <c r="C449" s="4"/>
      <c r="D449" s="4"/>
      <c r="M449" s="4"/>
    </row>
    <row r="450">
      <c r="C450" s="4"/>
      <c r="D450" s="4"/>
      <c r="M450" s="4"/>
    </row>
    <row r="451">
      <c r="C451" s="4"/>
      <c r="D451" s="4"/>
      <c r="M451" s="4"/>
    </row>
    <row r="452">
      <c r="C452" s="4"/>
      <c r="D452" s="4"/>
      <c r="M452" s="4"/>
    </row>
    <row r="453">
      <c r="C453" s="4"/>
      <c r="D453" s="4"/>
      <c r="M453" s="4"/>
    </row>
    <row r="454">
      <c r="C454" s="4"/>
      <c r="D454" s="4"/>
      <c r="M454" s="4"/>
    </row>
    <row r="455">
      <c r="C455" s="4"/>
      <c r="D455" s="4"/>
      <c r="M455" s="4"/>
    </row>
    <row r="456">
      <c r="C456" s="4"/>
      <c r="D456" s="4"/>
      <c r="M456" s="4"/>
    </row>
    <row r="457">
      <c r="C457" s="4"/>
      <c r="D457" s="4"/>
      <c r="M457" s="4"/>
    </row>
    <row r="458">
      <c r="C458" s="4"/>
      <c r="D458" s="4"/>
      <c r="M458" s="4"/>
    </row>
    <row r="459">
      <c r="C459" s="4"/>
      <c r="D459" s="4"/>
      <c r="M459" s="4"/>
    </row>
    <row r="460">
      <c r="C460" s="4"/>
      <c r="D460" s="4"/>
      <c r="M460" s="4"/>
    </row>
    <row r="461">
      <c r="C461" s="4"/>
      <c r="D461" s="4"/>
      <c r="M461" s="4"/>
    </row>
    <row r="462">
      <c r="C462" s="4"/>
      <c r="D462" s="4"/>
      <c r="M462" s="4"/>
    </row>
    <row r="463">
      <c r="C463" s="4"/>
      <c r="D463" s="4"/>
      <c r="M463" s="4"/>
    </row>
    <row r="464">
      <c r="C464" s="4"/>
      <c r="D464" s="4"/>
      <c r="M464" s="4"/>
    </row>
    <row r="465">
      <c r="C465" s="4"/>
      <c r="D465" s="4"/>
      <c r="M465" s="4"/>
    </row>
    <row r="466">
      <c r="C466" s="4"/>
      <c r="D466" s="4"/>
      <c r="M466" s="4"/>
    </row>
    <row r="467">
      <c r="C467" s="4"/>
      <c r="D467" s="4"/>
      <c r="M467" s="4"/>
    </row>
    <row r="468">
      <c r="C468" s="4"/>
      <c r="D468" s="4"/>
      <c r="M468" s="4"/>
    </row>
    <row r="469">
      <c r="C469" s="4"/>
      <c r="D469" s="4"/>
      <c r="M469" s="4"/>
    </row>
    <row r="470">
      <c r="C470" s="4"/>
      <c r="D470" s="4"/>
      <c r="M470" s="4"/>
    </row>
    <row r="471">
      <c r="C471" s="4"/>
      <c r="D471" s="4"/>
      <c r="M471" s="4"/>
    </row>
    <row r="472">
      <c r="C472" s="4"/>
      <c r="D472" s="4"/>
      <c r="M472" s="4"/>
    </row>
    <row r="473">
      <c r="C473" s="4"/>
      <c r="D473" s="4"/>
      <c r="M473" s="4"/>
    </row>
    <row r="474">
      <c r="C474" s="4"/>
      <c r="D474" s="4"/>
      <c r="M474" s="4"/>
    </row>
    <row r="475">
      <c r="C475" s="4"/>
      <c r="D475" s="4"/>
      <c r="M475" s="4"/>
    </row>
    <row r="476">
      <c r="C476" s="4"/>
      <c r="D476" s="4"/>
      <c r="M476" s="4"/>
    </row>
    <row r="477">
      <c r="C477" s="4"/>
      <c r="D477" s="4"/>
      <c r="M477" s="4"/>
    </row>
    <row r="478">
      <c r="C478" s="4"/>
      <c r="D478" s="4"/>
      <c r="M478" s="4"/>
    </row>
    <row r="479">
      <c r="C479" s="4"/>
      <c r="D479" s="4"/>
      <c r="M479" s="4"/>
    </row>
    <row r="480">
      <c r="C480" s="4"/>
      <c r="D480" s="4"/>
      <c r="M480" s="4"/>
    </row>
    <row r="481">
      <c r="C481" s="4"/>
      <c r="D481" s="4"/>
      <c r="M481" s="4"/>
    </row>
    <row r="482">
      <c r="C482" s="4"/>
      <c r="D482" s="4"/>
      <c r="M482" s="4"/>
    </row>
    <row r="483">
      <c r="C483" s="4"/>
      <c r="D483" s="4"/>
      <c r="M483" s="4"/>
    </row>
    <row r="484">
      <c r="C484" s="4"/>
      <c r="D484" s="4"/>
      <c r="M484" s="4"/>
    </row>
    <row r="485">
      <c r="C485" s="4"/>
      <c r="D485" s="4"/>
      <c r="M485" s="4"/>
    </row>
    <row r="486">
      <c r="C486" s="4"/>
      <c r="D486" s="4"/>
      <c r="M486" s="4"/>
    </row>
    <row r="487">
      <c r="C487" s="4"/>
      <c r="D487" s="4"/>
      <c r="M487" s="4"/>
    </row>
    <row r="488">
      <c r="C488" s="4"/>
      <c r="D488" s="4"/>
      <c r="M488" s="4"/>
    </row>
    <row r="489">
      <c r="C489" s="4"/>
      <c r="D489" s="4"/>
      <c r="M489" s="4"/>
    </row>
    <row r="490">
      <c r="C490" s="4"/>
      <c r="D490" s="4"/>
      <c r="M490" s="4"/>
    </row>
    <row r="491">
      <c r="C491" s="4"/>
      <c r="D491" s="4"/>
      <c r="M491" s="4"/>
    </row>
    <row r="492">
      <c r="C492" s="4"/>
      <c r="D492" s="4"/>
      <c r="M492" s="4"/>
    </row>
    <row r="493">
      <c r="C493" s="4"/>
      <c r="D493" s="4"/>
      <c r="M493" s="4"/>
    </row>
    <row r="494">
      <c r="C494" s="4"/>
      <c r="D494" s="4"/>
      <c r="M494" s="4"/>
    </row>
    <row r="495">
      <c r="C495" s="4"/>
      <c r="D495" s="4"/>
      <c r="M495" s="4"/>
    </row>
    <row r="496">
      <c r="C496" s="4"/>
      <c r="D496" s="4"/>
      <c r="M496" s="4"/>
    </row>
    <row r="497">
      <c r="C497" s="4"/>
      <c r="D497" s="4"/>
      <c r="M497" s="4"/>
    </row>
    <row r="498">
      <c r="C498" s="4"/>
      <c r="D498" s="4"/>
      <c r="M498" s="4"/>
    </row>
    <row r="499">
      <c r="C499" s="4"/>
      <c r="D499" s="4"/>
      <c r="M499" s="4"/>
    </row>
    <row r="500">
      <c r="C500" s="4"/>
      <c r="D500" s="4"/>
      <c r="M500" s="4"/>
    </row>
    <row r="501">
      <c r="C501" s="4"/>
      <c r="D501" s="4"/>
      <c r="M501" s="4"/>
    </row>
    <row r="502">
      <c r="C502" s="4"/>
      <c r="D502" s="4"/>
      <c r="M502" s="4"/>
    </row>
    <row r="503">
      <c r="C503" s="4"/>
      <c r="D503" s="4"/>
      <c r="M503" s="4"/>
    </row>
    <row r="504">
      <c r="C504" s="4"/>
      <c r="D504" s="4"/>
      <c r="M504" s="4"/>
    </row>
    <row r="505">
      <c r="C505" s="4"/>
      <c r="D505" s="4"/>
      <c r="M505" s="4"/>
    </row>
    <row r="506">
      <c r="C506" s="4"/>
      <c r="D506" s="4"/>
      <c r="M506" s="4"/>
    </row>
    <row r="507">
      <c r="C507" s="4"/>
      <c r="D507" s="4"/>
      <c r="M507" s="4"/>
    </row>
    <row r="508">
      <c r="C508" s="4"/>
      <c r="D508" s="4"/>
      <c r="M508" s="4"/>
    </row>
    <row r="509">
      <c r="C509" s="4"/>
      <c r="D509" s="4"/>
      <c r="M509" s="4"/>
    </row>
    <row r="510">
      <c r="C510" s="4"/>
      <c r="D510" s="4"/>
      <c r="M510" s="4"/>
    </row>
    <row r="511">
      <c r="C511" s="4"/>
      <c r="D511" s="4"/>
      <c r="M511" s="4"/>
    </row>
    <row r="512">
      <c r="C512" s="4"/>
      <c r="D512" s="4"/>
      <c r="M512" s="4"/>
    </row>
    <row r="513">
      <c r="C513" s="4"/>
      <c r="D513" s="4"/>
      <c r="M513" s="4"/>
    </row>
    <row r="514">
      <c r="C514" s="4"/>
      <c r="D514" s="4"/>
      <c r="M514" s="4"/>
    </row>
    <row r="515">
      <c r="C515" s="4"/>
      <c r="D515" s="4"/>
      <c r="M515" s="4"/>
    </row>
    <row r="516">
      <c r="C516" s="4"/>
      <c r="D516" s="4"/>
      <c r="M516" s="4"/>
    </row>
    <row r="517">
      <c r="C517" s="4"/>
      <c r="D517" s="4"/>
      <c r="M517" s="4"/>
    </row>
    <row r="518">
      <c r="C518" s="4"/>
      <c r="D518" s="4"/>
      <c r="M518" s="4"/>
    </row>
    <row r="519">
      <c r="C519" s="4"/>
      <c r="D519" s="4"/>
      <c r="M519" s="4"/>
    </row>
    <row r="520">
      <c r="C520" s="4"/>
      <c r="D520" s="4"/>
      <c r="M520" s="4"/>
    </row>
    <row r="521">
      <c r="C521" s="4"/>
      <c r="D521" s="4"/>
      <c r="M521" s="4"/>
    </row>
    <row r="522">
      <c r="C522" s="4"/>
      <c r="D522" s="4"/>
      <c r="M522" s="4"/>
    </row>
    <row r="523">
      <c r="C523" s="4"/>
      <c r="D523" s="4"/>
      <c r="M523" s="4"/>
    </row>
    <row r="524">
      <c r="C524" s="4"/>
      <c r="D524" s="4"/>
      <c r="M524" s="4"/>
    </row>
    <row r="525">
      <c r="C525" s="4"/>
      <c r="D525" s="4"/>
      <c r="M525" s="4"/>
    </row>
    <row r="526">
      <c r="C526" s="4"/>
      <c r="D526" s="4"/>
      <c r="M526" s="4"/>
    </row>
    <row r="527">
      <c r="C527" s="4"/>
      <c r="D527" s="4"/>
      <c r="M527" s="4"/>
    </row>
    <row r="528">
      <c r="C528" s="4"/>
      <c r="D528" s="4"/>
      <c r="M528" s="4"/>
    </row>
    <row r="529">
      <c r="C529" s="4"/>
      <c r="D529" s="4"/>
      <c r="M529" s="4"/>
    </row>
    <row r="530">
      <c r="C530" s="4"/>
      <c r="D530" s="4"/>
      <c r="M530" s="4"/>
    </row>
    <row r="531">
      <c r="C531" s="4"/>
      <c r="D531" s="4"/>
      <c r="M531" s="4"/>
    </row>
    <row r="532">
      <c r="C532" s="4"/>
      <c r="D532" s="4"/>
      <c r="M532" s="4"/>
    </row>
    <row r="533">
      <c r="C533" s="4"/>
      <c r="D533" s="4"/>
      <c r="M533" s="4"/>
    </row>
    <row r="534">
      <c r="C534" s="4"/>
      <c r="D534" s="4"/>
      <c r="M534" s="4"/>
    </row>
    <row r="535">
      <c r="C535" s="4"/>
      <c r="D535" s="4"/>
      <c r="M535" s="4"/>
    </row>
    <row r="536">
      <c r="C536" s="4"/>
      <c r="D536" s="4"/>
      <c r="M536" s="4"/>
    </row>
    <row r="537">
      <c r="C537" s="4"/>
      <c r="D537" s="4"/>
      <c r="M537" s="4"/>
    </row>
    <row r="538">
      <c r="C538" s="4"/>
      <c r="D538" s="4"/>
      <c r="M538" s="4"/>
    </row>
    <row r="539">
      <c r="C539" s="4"/>
      <c r="D539" s="4"/>
      <c r="M539" s="4"/>
    </row>
    <row r="540">
      <c r="C540" s="4"/>
      <c r="D540" s="4"/>
      <c r="M540" s="4"/>
    </row>
    <row r="541">
      <c r="C541" s="4"/>
      <c r="D541" s="4"/>
      <c r="M541" s="4"/>
    </row>
    <row r="542">
      <c r="C542" s="4"/>
      <c r="D542" s="4"/>
      <c r="M542" s="4"/>
    </row>
    <row r="543">
      <c r="C543" s="4"/>
      <c r="D543" s="4"/>
      <c r="M543" s="4"/>
    </row>
    <row r="544">
      <c r="C544" s="4"/>
      <c r="D544" s="4"/>
      <c r="M544" s="4"/>
    </row>
    <row r="545">
      <c r="C545" s="4"/>
      <c r="D545" s="4"/>
      <c r="M545" s="4"/>
    </row>
    <row r="546">
      <c r="C546" s="4"/>
      <c r="D546" s="4"/>
      <c r="M546" s="4"/>
    </row>
    <row r="547">
      <c r="C547" s="4"/>
      <c r="D547" s="4"/>
      <c r="M547" s="4"/>
    </row>
    <row r="548">
      <c r="C548" s="4"/>
      <c r="D548" s="4"/>
      <c r="M548" s="4"/>
    </row>
    <row r="549">
      <c r="C549" s="4"/>
      <c r="D549" s="4"/>
      <c r="M549" s="4"/>
    </row>
    <row r="550">
      <c r="C550" s="4"/>
      <c r="D550" s="4"/>
      <c r="M550" s="4"/>
    </row>
    <row r="551">
      <c r="C551" s="4"/>
      <c r="D551" s="4"/>
      <c r="M551" s="4"/>
    </row>
    <row r="552">
      <c r="C552" s="4"/>
      <c r="D552" s="4"/>
      <c r="M552" s="4"/>
    </row>
    <row r="553">
      <c r="C553" s="4"/>
      <c r="D553" s="4"/>
      <c r="M553" s="4"/>
    </row>
    <row r="554">
      <c r="C554" s="4"/>
      <c r="D554" s="4"/>
      <c r="M554" s="4"/>
    </row>
    <row r="555">
      <c r="C555" s="4"/>
      <c r="D555" s="4"/>
      <c r="M555" s="4"/>
    </row>
    <row r="556">
      <c r="C556" s="4"/>
      <c r="D556" s="4"/>
      <c r="M556" s="4"/>
    </row>
    <row r="557">
      <c r="C557" s="4"/>
      <c r="D557" s="4"/>
      <c r="M557" s="4"/>
    </row>
    <row r="558">
      <c r="C558" s="4"/>
      <c r="D558" s="4"/>
      <c r="M558" s="4"/>
    </row>
    <row r="559">
      <c r="C559" s="4"/>
      <c r="D559" s="4"/>
      <c r="M559" s="4"/>
    </row>
    <row r="560">
      <c r="C560" s="4"/>
      <c r="D560" s="4"/>
      <c r="M560" s="4"/>
    </row>
    <row r="561">
      <c r="C561" s="4"/>
      <c r="D561" s="4"/>
      <c r="M561" s="4"/>
    </row>
    <row r="562">
      <c r="C562" s="4"/>
      <c r="D562" s="4"/>
      <c r="M562" s="4"/>
    </row>
    <row r="563">
      <c r="C563" s="4"/>
      <c r="D563" s="4"/>
      <c r="M563" s="4"/>
    </row>
    <row r="564">
      <c r="C564" s="4"/>
      <c r="D564" s="4"/>
      <c r="M564" s="4"/>
    </row>
    <row r="565">
      <c r="C565" s="4"/>
      <c r="D565" s="4"/>
      <c r="M565" s="4"/>
    </row>
    <row r="566">
      <c r="C566" s="4"/>
      <c r="D566" s="4"/>
      <c r="M566" s="4"/>
    </row>
    <row r="567">
      <c r="C567" s="4"/>
      <c r="D567" s="4"/>
      <c r="M567" s="4"/>
    </row>
    <row r="568">
      <c r="C568" s="4"/>
      <c r="D568" s="4"/>
      <c r="M568" s="4"/>
    </row>
    <row r="569">
      <c r="C569" s="4"/>
      <c r="D569" s="4"/>
      <c r="M569" s="4"/>
    </row>
    <row r="570">
      <c r="C570" s="4"/>
      <c r="D570" s="4"/>
      <c r="M570" s="4"/>
    </row>
    <row r="571">
      <c r="C571" s="4"/>
      <c r="D571" s="4"/>
      <c r="M571" s="4"/>
    </row>
    <row r="572">
      <c r="C572" s="4"/>
      <c r="D572" s="4"/>
      <c r="M572" s="4"/>
    </row>
    <row r="573">
      <c r="C573" s="4"/>
      <c r="D573" s="4"/>
      <c r="M573" s="4"/>
    </row>
    <row r="574">
      <c r="C574" s="4"/>
      <c r="D574" s="4"/>
      <c r="M574" s="4"/>
    </row>
    <row r="575">
      <c r="C575" s="4"/>
      <c r="D575" s="4"/>
      <c r="M575" s="4"/>
    </row>
    <row r="576">
      <c r="C576" s="4"/>
      <c r="D576" s="4"/>
      <c r="M576" s="4"/>
    </row>
    <row r="577">
      <c r="C577" s="4"/>
      <c r="D577" s="4"/>
      <c r="M577" s="4"/>
    </row>
    <row r="578">
      <c r="C578" s="4"/>
      <c r="D578" s="4"/>
      <c r="M578" s="4"/>
    </row>
    <row r="579">
      <c r="C579" s="4"/>
      <c r="D579" s="4"/>
      <c r="M579" s="4"/>
    </row>
    <row r="580">
      <c r="C580" s="4"/>
      <c r="D580" s="4"/>
      <c r="M580" s="4"/>
    </row>
    <row r="581">
      <c r="C581" s="4"/>
      <c r="D581" s="4"/>
      <c r="M581" s="4"/>
    </row>
    <row r="582">
      <c r="C582" s="4"/>
      <c r="D582" s="4"/>
      <c r="M582" s="4"/>
    </row>
    <row r="583">
      <c r="C583" s="4"/>
      <c r="D583" s="4"/>
      <c r="M583" s="4"/>
    </row>
    <row r="584">
      <c r="C584" s="4"/>
      <c r="D584" s="4"/>
      <c r="M584" s="4"/>
    </row>
    <row r="585">
      <c r="C585" s="4"/>
      <c r="D585" s="4"/>
      <c r="M585" s="4"/>
    </row>
    <row r="586">
      <c r="C586" s="4"/>
      <c r="D586" s="4"/>
      <c r="M586" s="4"/>
    </row>
    <row r="587">
      <c r="C587" s="4"/>
      <c r="D587" s="4"/>
      <c r="M587" s="4"/>
    </row>
    <row r="588">
      <c r="C588" s="4"/>
      <c r="D588" s="4"/>
      <c r="M588" s="4"/>
    </row>
    <row r="589">
      <c r="C589" s="4"/>
      <c r="D589" s="4"/>
      <c r="M589" s="4"/>
    </row>
    <row r="590">
      <c r="C590" s="4"/>
      <c r="D590" s="4"/>
      <c r="M590" s="4"/>
    </row>
    <row r="591">
      <c r="C591" s="4"/>
      <c r="D591" s="4"/>
      <c r="M591" s="4"/>
    </row>
    <row r="592">
      <c r="C592" s="4"/>
      <c r="D592" s="4"/>
      <c r="M592" s="4"/>
    </row>
    <row r="593">
      <c r="C593" s="4"/>
      <c r="D593" s="4"/>
      <c r="M593" s="4"/>
    </row>
    <row r="594">
      <c r="C594" s="4"/>
      <c r="D594" s="4"/>
      <c r="M594" s="4"/>
    </row>
    <row r="595">
      <c r="C595" s="4"/>
      <c r="D595" s="4"/>
      <c r="M595" s="4"/>
    </row>
    <row r="596">
      <c r="C596" s="4"/>
      <c r="D596" s="4"/>
      <c r="M596" s="4"/>
    </row>
    <row r="597">
      <c r="C597" s="4"/>
      <c r="D597" s="4"/>
      <c r="M597" s="4"/>
    </row>
    <row r="598">
      <c r="C598" s="4"/>
      <c r="D598" s="4"/>
      <c r="M598" s="4"/>
    </row>
    <row r="599">
      <c r="C599" s="4"/>
      <c r="D599" s="4"/>
      <c r="M599" s="4"/>
    </row>
    <row r="600">
      <c r="C600" s="4"/>
      <c r="D600" s="4"/>
      <c r="M600" s="4"/>
    </row>
    <row r="601">
      <c r="C601" s="4"/>
      <c r="D601" s="4"/>
      <c r="M601" s="4"/>
    </row>
    <row r="602">
      <c r="C602" s="4"/>
      <c r="D602" s="4"/>
      <c r="M602" s="4"/>
    </row>
    <row r="603">
      <c r="C603" s="4"/>
      <c r="D603" s="4"/>
      <c r="M603" s="4"/>
    </row>
    <row r="604">
      <c r="C604" s="4"/>
      <c r="D604" s="4"/>
      <c r="M604" s="4"/>
    </row>
    <row r="605">
      <c r="C605" s="4"/>
      <c r="D605" s="4"/>
      <c r="M605" s="4"/>
    </row>
    <row r="606">
      <c r="C606" s="4"/>
      <c r="D606" s="4"/>
      <c r="M606" s="4"/>
    </row>
    <row r="607">
      <c r="C607" s="4"/>
      <c r="D607" s="4"/>
      <c r="M607" s="4"/>
    </row>
    <row r="608">
      <c r="C608" s="4"/>
      <c r="D608" s="4"/>
      <c r="M608" s="4"/>
    </row>
    <row r="609">
      <c r="C609" s="4"/>
      <c r="D609" s="4"/>
      <c r="M609" s="4"/>
    </row>
    <row r="610">
      <c r="C610" s="4"/>
      <c r="D610" s="4"/>
      <c r="M610" s="4"/>
    </row>
    <row r="611">
      <c r="C611" s="4"/>
      <c r="D611" s="4"/>
      <c r="M611" s="4"/>
    </row>
    <row r="612">
      <c r="C612" s="4"/>
      <c r="D612" s="4"/>
      <c r="M612" s="4"/>
    </row>
    <row r="613">
      <c r="C613" s="4"/>
      <c r="D613" s="4"/>
      <c r="M613" s="4"/>
    </row>
    <row r="614">
      <c r="C614" s="4"/>
      <c r="D614" s="4"/>
      <c r="M614" s="4"/>
    </row>
    <row r="615">
      <c r="C615" s="4"/>
      <c r="D615" s="4"/>
      <c r="M615" s="4"/>
    </row>
    <row r="616">
      <c r="C616" s="4"/>
      <c r="D616" s="4"/>
      <c r="M616" s="4"/>
    </row>
    <row r="617">
      <c r="C617" s="4"/>
      <c r="D617" s="4"/>
      <c r="M617" s="4"/>
    </row>
    <row r="618">
      <c r="C618" s="4"/>
      <c r="D618" s="4"/>
      <c r="M618" s="4"/>
    </row>
    <row r="619">
      <c r="C619" s="4"/>
      <c r="D619" s="4"/>
      <c r="M619" s="4"/>
    </row>
    <row r="620">
      <c r="C620" s="4"/>
      <c r="D620" s="4"/>
      <c r="M620" s="4"/>
    </row>
    <row r="621">
      <c r="C621" s="4"/>
      <c r="D621" s="4"/>
      <c r="M621" s="4"/>
    </row>
    <row r="622">
      <c r="C622" s="4"/>
      <c r="D622" s="4"/>
      <c r="M622" s="4"/>
    </row>
    <row r="623">
      <c r="C623" s="4"/>
      <c r="D623" s="4"/>
      <c r="M623" s="4"/>
    </row>
    <row r="624">
      <c r="C624" s="4"/>
      <c r="D624" s="4"/>
      <c r="M624" s="4"/>
    </row>
    <row r="625">
      <c r="C625" s="4"/>
      <c r="D625" s="4"/>
      <c r="M625" s="4"/>
    </row>
    <row r="626">
      <c r="C626" s="4"/>
      <c r="D626" s="4"/>
      <c r="M626" s="4"/>
    </row>
    <row r="627">
      <c r="C627" s="4"/>
      <c r="D627" s="4"/>
      <c r="M627" s="4"/>
    </row>
    <row r="628">
      <c r="C628" s="4"/>
      <c r="D628" s="4"/>
      <c r="M628" s="4"/>
    </row>
    <row r="629">
      <c r="C629" s="4"/>
      <c r="D629" s="4"/>
      <c r="M629" s="4"/>
    </row>
    <row r="630">
      <c r="C630" s="4"/>
      <c r="D630" s="4"/>
      <c r="M630" s="4"/>
    </row>
    <row r="631">
      <c r="C631" s="4"/>
      <c r="D631" s="4"/>
      <c r="M631" s="4"/>
    </row>
    <row r="632">
      <c r="C632" s="4"/>
      <c r="D632" s="4"/>
      <c r="M632" s="4"/>
    </row>
    <row r="633">
      <c r="C633" s="4"/>
      <c r="D633" s="4"/>
      <c r="M633" s="4"/>
    </row>
    <row r="634">
      <c r="C634" s="4"/>
      <c r="D634" s="4"/>
      <c r="M634" s="4"/>
    </row>
    <row r="635">
      <c r="C635" s="4"/>
      <c r="D635" s="4"/>
      <c r="M635" s="4"/>
    </row>
    <row r="636">
      <c r="C636" s="4"/>
      <c r="D636" s="4"/>
      <c r="M636" s="4"/>
    </row>
    <row r="637">
      <c r="C637" s="4"/>
      <c r="D637" s="4"/>
      <c r="M637" s="4"/>
    </row>
    <row r="638">
      <c r="C638" s="4"/>
      <c r="D638" s="4"/>
      <c r="M638" s="4"/>
    </row>
    <row r="639">
      <c r="C639" s="4"/>
      <c r="D639" s="4"/>
      <c r="M639" s="4"/>
    </row>
    <row r="640">
      <c r="C640" s="4"/>
      <c r="D640" s="4"/>
      <c r="M640" s="4"/>
    </row>
    <row r="641">
      <c r="C641" s="4"/>
      <c r="D641" s="4"/>
      <c r="M641" s="4"/>
    </row>
    <row r="642">
      <c r="C642" s="4"/>
      <c r="D642" s="4"/>
      <c r="M642" s="4"/>
    </row>
    <row r="643">
      <c r="C643" s="4"/>
      <c r="D643" s="4"/>
      <c r="M643" s="4"/>
    </row>
    <row r="644">
      <c r="C644" s="4"/>
      <c r="D644" s="4"/>
      <c r="M644" s="4"/>
    </row>
    <row r="645">
      <c r="C645" s="4"/>
      <c r="D645" s="4"/>
      <c r="M645" s="4"/>
    </row>
    <row r="646">
      <c r="C646" s="4"/>
      <c r="D646" s="4"/>
      <c r="M646" s="4"/>
    </row>
    <row r="647">
      <c r="C647" s="4"/>
      <c r="D647" s="4"/>
      <c r="M647" s="4"/>
    </row>
    <row r="648">
      <c r="C648" s="4"/>
      <c r="D648" s="4"/>
      <c r="M648" s="4"/>
    </row>
    <row r="649">
      <c r="C649" s="4"/>
      <c r="D649" s="4"/>
      <c r="M649" s="4"/>
    </row>
    <row r="650">
      <c r="C650" s="4"/>
      <c r="D650" s="4"/>
      <c r="M650" s="4"/>
    </row>
    <row r="651">
      <c r="C651" s="4"/>
      <c r="D651" s="4"/>
      <c r="M651" s="4"/>
    </row>
    <row r="652">
      <c r="C652" s="4"/>
      <c r="D652" s="4"/>
      <c r="M652" s="4"/>
    </row>
    <row r="653">
      <c r="C653" s="4"/>
      <c r="D653" s="4"/>
      <c r="M653" s="4"/>
    </row>
    <row r="654">
      <c r="C654" s="4"/>
      <c r="D654" s="4"/>
      <c r="M654" s="4"/>
    </row>
    <row r="655">
      <c r="C655" s="4"/>
      <c r="D655" s="4"/>
      <c r="M655" s="4"/>
    </row>
    <row r="656">
      <c r="C656" s="4"/>
      <c r="D656" s="4"/>
      <c r="M656" s="4"/>
    </row>
    <row r="657">
      <c r="C657" s="4"/>
      <c r="D657" s="4"/>
      <c r="M657" s="4"/>
    </row>
    <row r="658">
      <c r="C658" s="4"/>
      <c r="D658" s="4"/>
      <c r="M658" s="4"/>
    </row>
    <row r="659">
      <c r="C659" s="4"/>
      <c r="D659" s="4"/>
      <c r="M659" s="4"/>
    </row>
    <row r="660">
      <c r="C660" s="4"/>
      <c r="D660" s="4"/>
      <c r="M660" s="4"/>
    </row>
    <row r="661">
      <c r="C661" s="4"/>
      <c r="D661" s="4"/>
      <c r="M661" s="4"/>
    </row>
    <row r="662">
      <c r="C662" s="4"/>
      <c r="D662" s="4"/>
      <c r="M662" s="4"/>
    </row>
    <row r="663">
      <c r="C663" s="4"/>
      <c r="D663" s="4"/>
      <c r="M663" s="4"/>
    </row>
    <row r="664">
      <c r="C664" s="4"/>
      <c r="D664" s="4"/>
      <c r="M664" s="4"/>
    </row>
    <row r="665">
      <c r="C665" s="4"/>
      <c r="D665" s="4"/>
      <c r="M665" s="4"/>
    </row>
    <row r="666">
      <c r="C666" s="4"/>
      <c r="D666" s="4"/>
      <c r="M666" s="4"/>
    </row>
    <row r="667">
      <c r="C667" s="4"/>
      <c r="D667" s="4"/>
      <c r="M667" s="4"/>
    </row>
    <row r="668">
      <c r="C668" s="4"/>
      <c r="D668" s="4"/>
      <c r="M668" s="4"/>
    </row>
    <row r="669">
      <c r="C669" s="4"/>
      <c r="D669" s="4"/>
      <c r="M669" s="4"/>
    </row>
    <row r="670">
      <c r="C670" s="4"/>
      <c r="D670" s="4"/>
      <c r="M670" s="4"/>
    </row>
    <row r="671">
      <c r="C671" s="4"/>
      <c r="D671" s="4"/>
      <c r="M671" s="4"/>
    </row>
    <row r="672">
      <c r="C672" s="4"/>
      <c r="D672" s="4"/>
      <c r="M672" s="4"/>
    </row>
    <row r="673">
      <c r="C673" s="4"/>
      <c r="D673" s="4"/>
      <c r="M673" s="4"/>
    </row>
    <row r="674">
      <c r="C674" s="4"/>
      <c r="D674" s="4"/>
      <c r="M674" s="4"/>
    </row>
    <row r="675">
      <c r="C675" s="4"/>
      <c r="D675" s="4"/>
      <c r="M675" s="4"/>
    </row>
    <row r="676">
      <c r="C676" s="4"/>
      <c r="D676" s="4"/>
      <c r="M676" s="4"/>
    </row>
    <row r="677">
      <c r="C677" s="4"/>
      <c r="D677" s="4"/>
      <c r="M677" s="4"/>
    </row>
    <row r="678">
      <c r="C678" s="4"/>
      <c r="D678" s="4"/>
      <c r="M678" s="4"/>
    </row>
    <row r="679">
      <c r="C679" s="4"/>
      <c r="D679" s="4"/>
      <c r="M679" s="4"/>
    </row>
    <row r="680">
      <c r="C680" s="4"/>
      <c r="D680" s="4"/>
      <c r="M680" s="4"/>
    </row>
    <row r="681">
      <c r="C681" s="4"/>
      <c r="D681" s="4"/>
      <c r="M681" s="4"/>
    </row>
    <row r="682">
      <c r="C682" s="4"/>
      <c r="D682" s="4"/>
      <c r="M682" s="4"/>
    </row>
    <row r="683">
      <c r="C683" s="4"/>
      <c r="D683" s="4"/>
      <c r="M683" s="4"/>
    </row>
    <row r="684">
      <c r="C684" s="4"/>
      <c r="D684" s="4"/>
      <c r="M684" s="4"/>
    </row>
    <row r="685">
      <c r="C685" s="4"/>
      <c r="D685" s="4"/>
      <c r="M685" s="4"/>
    </row>
    <row r="686">
      <c r="C686" s="4"/>
      <c r="D686" s="4"/>
      <c r="M686" s="4"/>
    </row>
    <row r="687">
      <c r="C687" s="4"/>
      <c r="D687" s="4"/>
      <c r="M687" s="4"/>
    </row>
    <row r="688">
      <c r="C688" s="4"/>
      <c r="D688" s="4"/>
      <c r="M688" s="4"/>
    </row>
    <row r="689">
      <c r="C689" s="4"/>
      <c r="D689" s="4"/>
      <c r="M689" s="4"/>
    </row>
    <row r="690">
      <c r="C690" s="4"/>
      <c r="D690" s="4"/>
      <c r="M690" s="4"/>
    </row>
    <row r="691">
      <c r="C691" s="4"/>
      <c r="D691" s="4"/>
      <c r="M691" s="4"/>
    </row>
    <row r="692">
      <c r="C692" s="4"/>
      <c r="D692" s="4"/>
      <c r="M692" s="4"/>
    </row>
    <row r="693">
      <c r="C693" s="4"/>
      <c r="D693" s="4"/>
      <c r="M693" s="4"/>
    </row>
    <row r="694">
      <c r="C694" s="4"/>
      <c r="D694" s="4"/>
      <c r="M694" s="4"/>
    </row>
    <row r="695">
      <c r="C695" s="4"/>
      <c r="D695" s="4"/>
      <c r="M695" s="4"/>
    </row>
    <row r="696">
      <c r="C696" s="4"/>
      <c r="D696" s="4"/>
      <c r="M696" s="4"/>
    </row>
    <row r="697">
      <c r="C697" s="4"/>
      <c r="D697" s="4"/>
      <c r="M697" s="4"/>
    </row>
    <row r="698">
      <c r="C698" s="4"/>
      <c r="D698" s="4"/>
      <c r="M698" s="4"/>
    </row>
    <row r="699">
      <c r="C699" s="4"/>
      <c r="D699" s="4"/>
      <c r="M699" s="4"/>
    </row>
    <row r="700">
      <c r="C700" s="4"/>
      <c r="D700" s="4"/>
      <c r="M700" s="4"/>
    </row>
    <row r="701">
      <c r="C701" s="4"/>
      <c r="D701" s="4"/>
      <c r="M701" s="4"/>
    </row>
    <row r="702">
      <c r="C702" s="4"/>
      <c r="D702" s="4"/>
      <c r="M702" s="4"/>
    </row>
    <row r="703">
      <c r="C703" s="4"/>
      <c r="D703" s="4"/>
      <c r="M703" s="4"/>
    </row>
    <row r="704">
      <c r="C704" s="4"/>
      <c r="D704" s="4"/>
      <c r="M704" s="4"/>
    </row>
    <row r="705">
      <c r="C705" s="4"/>
      <c r="D705" s="4"/>
      <c r="M705" s="4"/>
    </row>
    <row r="706">
      <c r="C706" s="4"/>
      <c r="D706" s="4"/>
      <c r="M706" s="4"/>
    </row>
    <row r="707">
      <c r="C707" s="4"/>
      <c r="D707" s="4"/>
      <c r="M707" s="4"/>
    </row>
    <row r="708">
      <c r="C708" s="4"/>
      <c r="D708" s="4"/>
      <c r="M708" s="4"/>
    </row>
    <row r="709">
      <c r="C709" s="4"/>
      <c r="D709" s="4"/>
      <c r="M709" s="4"/>
    </row>
    <row r="710">
      <c r="C710" s="4"/>
      <c r="D710" s="4"/>
      <c r="M710" s="4"/>
    </row>
    <row r="711">
      <c r="C711" s="4"/>
      <c r="D711" s="4"/>
      <c r="M711" s="4"/>
    </row>
    <row r="712">
      <c r="C712" s="4"/>
      <c r="D712" s="4"/>
      <c r="M712" s="4"/>
    </row>
    <row r="713">
      <c r="C713" s="4"/>
      <c r="D713" s="4"/>
      <c r="M713" s="4"/>
    </row>
    <row r="714">
      <c r="C714" s="4"/>
      <c r="D714" s="4"/>
      <c r="M714" s="4"/>
    </row>
    <row r="715">
      <c r="C715" s="4"/>
      <c r="D715" s="4"/>
      <c r="M715" s="4"/>
    </row>
    <row r="716">
      <c r="C716" s="4"/>
      <c r="D716" s="4"/>
      <c r="M716" s="4"/>
    </row>
    <row r="717">
      <c r="C717" s="4"/>
      <c r="D717" s="4"/>
      <c r="M717" s="4"/>
    </row>
    <row r="718">
      <c r="C718" s="4"/>
      <c r="D718" s="4"/>
      <c r="M718" s="4"/>
    </row>
    <row r="719">
      <c r="C719" s="4"/>
      <c r="D719" s="4"/>
      <c r="M719" s="4"/>
    </row>
    <row r="720">
      <c r="C720" s="4"/>
      <c r="D720" s="4"/>
      <c r="M720" s="4"/>
    </row>
    <row r="721">
      <c r="C721" s="4"/>
      <c r="D721" s="4"/>
      <c r="M721" s="4"/>
    </row>
    <row r="722">
      <c r="C722" s="4"/>
      <c r="D722" s="4"/>
      <c r="M722" s="4"/>
    </row>
    <row r="723">
      <c r="C723" s="4"/>
      <c r="D723" s="4"/>
      <c r="M723" s="4"/>
    </row>
    <row r="724">
      <c r="C724" s="4"/>
      <c r="D724" s="4"/>
      <c r="M724" s="4"/>
    </row>
    <row r="725">
      <c r="C725" s="4"/>
      <c r="D725" s="4"/>
      <c r="M725" s="4"/>
    </row>
    <row r="726">
      <c r="C726" s="4"/>
      <c r="D726" s="4"/>
      <c r="M726" s="4"/>
    </row>
    <row r="727">
      <c r="C727" s="4"/>
      <c r="D727" s="4"/>
      <c r="M727" s="4"/>
    </row>
    <row r="728">
      <c r="C728" s="4"/>
      <c r="D728" s="4"/>
      <c r="M728" s="4"/>
    </row>
    <row r="729">
      <c r="C729" s="4"/>
      <c r="D729" s="4"/>
      <c r="M729" s="4"/>
    </row>
    <row r="730">
      <c r="C730" s="4"/>
      <c r="D730" s="4"/>
      <c r="M730" s="4"/>
    </row>
    <row r="731">
      <c r="C731" s="4"/>
      <c r="D731" s="4"/>
      <c r="M731" s="4"/>
    </row>
    <row r="732">
      <c r="C732" s="4"/>
      <c r="D732" s="4"/>
      <c r="M732" s="4"/>
    </row>
    <row r="733">
      <c r="C733" s="4"/>
      <c r="D733" s="4"/>
      <c r="M733" s="4"/>
    </row>
    <row r="734">
      <c r="C734" s="4"/>
      <c r="D734" s="4"/>
      <c r="M734" s="4"/>
    </row>
    <row r="735">
      <c r="C735" s="4"/>
      <c r="D735" s="4"/>
      <c r="M735" s="4"/>
    </row>
    <row r="736">
      <c r="C736" s="4"/>
      <c r="D736" s="4"/>
      <c r="M736" s="4"/>
    </row>
    <row r="737">
      <c r="C737" s="4"/>
      <c r="D737" s="4"/>
      <c r="M737" s="4"/>
    </row>
    <row r="738">
      <c r="C738" s="4"/>
      <c r="D738" s="4"/>
      <c r="M738" s="4"/>
    </row>
    <row r="739">
      <c r="C739" s="4"/>
      <c r="D739" s="4"/>
      <c r="M739" s="4"/>
    </row>
    <row r="740">
      <c r="C740" s="4"/>
      <c r="D740" s="4"/>
      <c r="M740" s="4"/>
    </row>
    <row r="741">
      <c r="C741" s="4"/>
      <c r="D741" s="4"/>
      <c r="M741" s="4"/>
    </row>
    <row r="742">
      <c r="C742" s="4"/>
      <c r="D742" s="4"/>
      <c r="M742" s="4"/>
    </row>
    <row r="743">
      <c r="C743" s="4"/>
      <c r="D743" s="4"/>
      <c r="M743" s="4"/>
    </row>
    <row r="744">
      <c r="C744" s="4"/>
      <c r="D744" s="4"/>
      <c r="M744" s="4"/>
    </row>
    <row r="745">
      <c r="C745" s="4"/>
      <c r="D745" s="4"/>
      <c r="M745" s="4"/>
    </row>
    <row r="746">
      <c r="C746" s="4"/>
      <c r="D746" s="4"/>
      <c r="M746" s="4"/>
    </row>
    <row r="747">
      <c r="C747" s="4"/>
      <c r="D747" s="4"/>
      <c r="M747" s="4"/>
    </row>
    <row r="748">
      <c r="C748" s="4"/>
      <c r="D748" s="4"/>
      <c r="M748" s="4"/>
    </row>
    <row r="749">
      <c r="C749" s="4"/>
      <c r="D749" s="4"/>
      <c r="M749" s="4"/>
    </row>
    <row r="750">
      <c r="C750" s="4"/>
      <c r="D750" s="4"/>
      <c r="M750" s="4"/>
    </row>
    <row r="751">
      <c r="C751" s="4"/>
      <c r="D751" s="4"/>
      <c r="M751" s="4"/>
    </row>
    <row r="752">
      <c r="C752" s="4"/>
      <c r="D752" s="4"/>
      <c r="M752" s="4"/>
    </row>
    <row r="753">
      <c r="C753" s="4"/>
      <c r="D753" s="4"/>
      <c r="M753" s="4"/>
    </row>
    <row r="754">
      <c r="C754" s="4"/>
      <c r="D754" s="4"/>
      <c r="M754" s="4"/>
    </row>
    <row r="755">
      <c r="C755" s="4"/>
      <c r="D755" s="4"/>
      <c r="M755" s="4"/>
    </row>
    <row r="756">
      <c r="C756" s="4"/>
      <c r="D756" s="4"/>
      <c r="M756" s="4"/>
    </row>
    <row r="757">
      <c r="C757" s="4"/>
      <c r="D757" s="4"/>
      <c r="M757" s="4"/>
    </row>
    <row r="758">
      <c r="C758" s="4"/>
      <c r="D758" s="4"/>
      <c r="M758" s="4"/>
    </row>
    <row r="759">
      <c r="C759" s="4"/>
      <c r="D759" s="4"/>
      <c r="M759" s="4"/>
    </row>
    <row r="760">
      <c r="C760" s="4"/>
      <c r="D760" s="4"/>
      <c r="M760" s="4"/>
    </row>
    <row r="761">
      <c r="C761" s="4"/>
      <c r="D761" s="4"/>
      <c r="M761" s="4"/>
    </row>
    <row r="762">
      <c r="C762" s="4"/>
      <c r="D762" s="4"/>
      <c r="M762" s="4"/>
    </row>
    <row r="763">
      <c r="C763" s="4"/>
      <c r="D763" s="4"/>
      <c r="M763" s="4"/>
    </row>
    <row r="764">
      <c r="C764" s="4"/>
      <c r="D764" s="4"/>
      <c r="M764" s="4"/>
    </row>
    <row r="765">
      <c r="C765" s="4"/>
      <c r="D765" s="4"/>
      <c r="M765" s="4"/>
    </row>
    <row r="766">
      <c r="C766" s="4"/>
      <c r="D766" s="4"/>
      <c r="M766" s="4"/>
    </row>
    <row r="767">
      <c r="C767" s="4"/>
      <c r="D767" s="4"/>
      <c r="M767" s="4"/>
    </row>
    <row r="768">
      <c r="C768" s="4"/>
      <c r="D768" s="4"/>
      <c r="M768" s="4"/>
    </row>
    <row r="769">
      <c r="C769" s="4"/>
      <c r="D769" s="4"/>
      <c r="M769" s="4"/>
    </row>
    <row r="770">
      <c r="C770" s="4"/>
      <c r="D770" s="4"/>
      <c r="M770" s="4"/>
    </row>
    <row r="771">
      <c r="C771" s="4"/>
      <c r="D771" s="4"/>
      <c r="M771" s="4"/>
    </row>
    <row r="772">
      <c r="C772" s="4"/>
      <c r="D772" s="4"/>
      <c r="M772" s="4"/>
    </row>
    <row r="773">
      <c r="C773" s="4"/>
      <c r="D773" s="4"/>
      <c r="M773" s="4"/>
    </row>
    <row r="774">
      <c r="C774" s="4"/>
      <c r="D774" s="4"/>
      <c r="M774" s="4"/>
    </row>
    <row r="775">
      <c r="C775" s="4"/>
      <c r="D775" s="4"/>
      <c r="M775" s="4"/>
    </row>
    <row r="776">
      <c r="C776" s="4"/>
      <c r="D776" s="4"/>
      <c r="M776" s="4"/>
    </row>
    <row r="777">
      <c r="C777" s="4"/>
      <c r="D777" s="4"/>
      <c r="M777" s="4"/>
    </row>
    <row r="778">
      <c r="C778" s="4"/>
      <c r="D778" s="4"/>
      <c r="M778" s="4"/>
    </row>
    <row r="779">
      <c r="C779" s="4"/>
      <c r="D779" s="4"/>
      <c r="M779" s="4"/>
    </row>
    <row r="780">
      <c r="C780" s="4"/>
      <c r="D780" s="4"/>
      <c r="M780" s="4"/>
    </row>
    <row r="781">
      <c r="C781" s="4"/>
      <c r="D781" s="4"/>
      <c r="M781" s="4"/>
    </row>
    <row r="782">
      <c r="C782" s="4"/>
      <c r="D782" s="4"/>
      <c r="M782" s="4"/>
    </row>
    <row r="783">
      <c r="C783" s="4"/>
      <c r="D783" s="4"/>
      <c r="M783" s="4"/>
    </row>
    <row r="784">
      <c r="C784" s="4"/>
      <c r="D784" s="4"/>
      <c r="M784" s="4"/>
    </row>
    <row r="785">
      <c r="C785" s="4"/>
      <c r="D785" s="4"/>
      <c r="M785" s="4"/>
    </row>
    <row r="786">
      <c r="C786" s="4"/>
      <c r="D786" s="4"/>
      <c r="M786" s="4"/>
    </row>
    <row r="787">
      <c r="C787" s="4"/>
      <c r="D787" s="4"/>
      <c r="M787" s="4"/>
    </row>
    <row r="788">
      <c r="C788" s="4"/>
      <c r="D788" s="4"/>
      <c r="M788" s="4"/>
    </row>
    <row r="789">
      <c r="C789" s="4"/>
      <c r="D789" s="4"/>
      <c r="M789" s="4"/>
    </row>
    <row r="790">
      <c r="C790" s="4"/>
      <c r="D790" s="4"/>
      <c r="M790" s="4"/>
    </row>
    <row r="791">
      <c r="C791" s="4"/>
      <c r="D791" s="4"/>
      <c r="M791" s="4"/>
    </row>
    <row r="792">
      <c r="C792" s="4"/>
      <c r="D792" s="4"/>
      <c r="M792" s="4"/>
    </row>
    <row r="793">
      <c r="C793" s="4"/>
      <c r="D793" s="4"/>
      <c r="M793" s="4"/>
    </row>
    <row r="794">
      <c r="C794" s="4"/>
      <c r="D794" s="4"/>
      <c r="M794" s="4"/>
    </row>
    <row r="795">
      <c r="C795" s="4"/>
      <c r="D795" s="4"/>
      <c r="M795" s="4"/>
    </row>
    <row r="796">
      <c r="C796" s="4"/>
      <c r="D796" s="4"/>
      <c r="M796" s="4"/>
    </row>
    <row r="797">
      <c r="C797" s="4"/>
      <c r="D797" s="4"/>
      <c r="M797" s="4"/>
    </row>
    <row r="798">
      <c r="C798" s="4"/>
      <c r="D798" s="4"/>
      <c r="M798" s="4"/>
    </row>
    <row r="799">
      <c r="C799" s="4"/>
      <c r="D799" s="4"/>
      <c r="M799" s="4"/>
    </row>
    <row r="800">
      <c r="C800" s="4"/>
      <c r="D800" s="4"/>
      <c r="M800" s="4"/>
    </row>
    <row r="801">
      <c r="C801" s="4"/>
      <c r="D801" s="4"/>
      <c r="M801" s="4"/>
    </row>
    <row r="802">
      <c r="C802" s="4"/>
      <c r="D802" s="4"/>
      <c r="M802" s="4"/>
    </row>
    <row r="803">
      <c r="C803" s="4"/>
      <c r="D803" s="4"/>
      <c r="M803" s="4"/>
    </row>
    <row r="804">
      <c r="C804" s="4"/>
      <c r="D804" s="4"/>
      <c r="M804" s="4"/>
    </row>
    <row r="805">
      <c r="C805" s="4"/>
      <c r="D805" s="4"/>
      <c r="M805" s="4"/>
    </row>
    <row r="806">
      <c r="C806" s="4"/>
      <c r="D806" s="4"/>
      <c r="M806" s="4"/>
    </row>
    <row r="807">
      <c r="C807" s="4"/>
      <c r="D807" s="4"/>
      <c r="M807" s="4"/>
    </row>
    <row r="808">
      <c r="C808" s="4"/>
      <c r="D808" s="4"/>
      <c r="M808" s="4"/>
    </row>
    <row r="809">
      <c r="C809" s="4"/>
      <c r="D809" s="4"/>
      <c r="M809" s="4"/>
    </row>
    <row r="810">
      <c r="C810" s="4"/>
      <c r="D810" s="4"/>
      <c r="M810" s="4"/>
    </row>
    <row r="811">
      <c r="C811" s="4"/>
      <c r="D811" s="4"/>
      <c r="M811" s="4"/>
    </row>
    <row r="812">
      <c r="C812" s="4"/>
      <c r="D812" s="4"/>
      <c r="M812" s="4"/>
    </row>
    <row r="813">
      <c r="C813" s="4"/>
      <c r="D813" s="4"/>
      <c r="M813" s="4"/>
    </row>
    <row r="814">
      <c r="C814" s="4"/>
      <c r="D814" s="4"/>
      <c r="M814" s="4"/>
    </row>
    <row r="815">
      <c r="C815" s="4"/>
      <c r="D815" s="4"/>
      <c r="M815" s="4"/>
    </row>
    <row r="816">
      <c r="C816" s="4"/>
      <c r="D816" s="4"/>
      <c r="M816" s="4"/>
    </row>
    <row r="817">
      <c r="C817" s="4"/>
      <c r="D817" s="4"/>
      <c r="M817" s="4"/>
    </row>
    <row r="818">
      <c r="C818" s="4"/>
      <c r="D818" s="4"/>
      <c r="M818" s="4"/>
    </row>
    <row r="819">
      <c r="C819" s="4"/>
      <c r="D819" s="4"/>
      <c r="M819" s="4"/>
    </row>
    <row r="820">
      <c r="C820" s="4"/>
      <c r="D820" s="4"/>
      <c r="M820" s="4"/>
    </row>
    <row r="821">
      <c r="C821" s="4"/>
      <c r="D821" s="4"/>
      <c r="M821" s="4"/>
    </row>
    <row r="822">
      <c r="C822" s="4"/>
      <c r="D822" s="4"/>
      <c r="M822" s="4"/>
    </row>
    <row r="823">
      <c r="C823" s="4"/>
      <c r="D823" s="4"/>
      <c r="M823" s="4"/>
    </row>
    <row r="824">
      <c r="C824" s="4"/>
      <c r="D824" s="4"/>
      <c r="M824" s="4"/>
    </row>
    <row r="825">
      <c r="C825" s="4"/>
      <c r="D825" s="4"/>
      <c r="M825" s="4"/>
    </row>
    <row r="826">
      <c r="C826" s="4"/>
      <c r="D826" s="4"/>
      <c r="M826" s="4"/>
    </row>
    <row r="827">
      <c r="C827" s="4"/>
      <c r="D827" s="4"/>
      <c r="M827" s="4"/>
    </row>
    <row r="828">
      <c r="C828" s="4"/>
      <c r="D828" s="4"/>
      <c r="M828" s="4"/>
    </row>
    <row r="829">
      <c r="C829" s="4"/>
      <c r="D829" s="4"/>
      <c r="M829" s="4"/>
    </row>
    <row r="830">
      <c r="C830" s="4"/>
      <c r="D830" s="4"/>
      <c r="M830" s="4"/>
    </row>
    <row r="831">
      <c r="C831" s="4"/>
      <c r="D831" s="4"/>
      <c r="M831" s="4"/>
    </row>
    <row r="832">
      <c r="C832" s="4"/>
      <c r="D832" s="4"/>
      <c r="M832" s="4"/>
    </row>
    <row r="833">
      <c r="C833" s="4"/>
      <c r="D833" s="4"/>
      <c r="M833" s="4"/>
    </row>
    <row r="834">
      <c r="C834" s="4"/>
      <c r="D834" s="4"/>
      <c r="M834" s="4"/>
    </row>
    <row r="835">
      <c r="C835" s="4"/>
      <c r="D835" s="4"/>
      <c r="M835" s="4"/>
    </row>
    <row r="836">
      <c r="C836" s="4"/>
      <c r="D836" s="4"/>
      <c r="M836" s="4"/>
    </row>
    <row r="837">
      <c r="C837" s="4"/>
      <c r="D837" s="4"/>
      <c r="M837" s="4"/>
    </row>
    <row r="838">
      <c r="C838" s="4"/>
      <c r="D838" s="4"/>
      <c r="M838" s="4"/>
    </row>
    <row r="839">
      <c r="C839" s="4"/>
      <c r="D839" s="4"/>
      <c r="M839" s="4"/>
    </row>
    <row r="840">
      <c r="C840" s="4"/>
      <c r="D840" s="4"/>
      <c r="M840" s="4"/>
    </row>
    <row r="841">
      <c r="C841" s="4"/>
      <c r="D841" s="4"/>
      <c r="M841" s="4"/>
    </row>
    <row r="842">
      <c r="C842" s="4"/>
      <c r="D842" s="4"/>
      <c r="M842" s="4"/>
    </row>
    <row r="843">
      <c r="C843" s="4"/>
      <c r="D843" s="4"/>
      <c r="M843" s="4"/>
    </row>
    <row r="844">
      <c r="C844" s="4"/>
      <c r="D844" s="4"/>
      <c r="M844" s="4"/>
    </row>
    <row r="845">
      <c r="C845" s="4"/>
      <c r="D845" s="4"/>
      <c r="M845" s="4"/>
    </row>
    <row r="846">
      <c r="C846" s="4"/>
      <c r="D846" s="4"/>
      <c r="M846" s="4"/>
    </row>
    <row r="847">
      <c r="C847" s="4"/>
      <c r="D847" s="4"/>
      <c r="M847" s="4"/>
    </row>
    <row r="848">
      <c r="C848" s="4"/>
      <c r="D848" s="4"/>
      <c r="M848" s="4"/>
    </row>
    <row r="849">
      <c r="C849" s="4"/>
      <c r="D849" s="4"/>
      <c r="M849" s="4"/>
    </row>
    <row r="850">
      <c r="C850" s="4"/>
      <c r="D850" s="4"/>
      <c r="M850" s="4"/>
    </row>
    <row r="851">
      <c r="C851" s="4"/>
      <c r="D851" s="4"/>
      <c r="M851" s="4"/>
    </row>
    <row r="852">
      <c r="C852" s="4"/>
      <c r="D852" s="4"/>
      <c r="M852" s="4"/>
    </row>
    <row r="853">
      <c r="C853" s="4"/>
      <c r="D853" s="4"/>
      <c r="M853" s="4"/>
    </row>
    <row r="854">
      <c r="C854" s="4"/>
      <c r="D854" s="4"/>
      <c r="M854" s="4"/>
    </row>
    <row r="855">
      <c r="C855" s="4"/>
      <c r="D855" s="4"/>
      <c r="M855" s="4"/>
    </row>
    <row r="856">
      <c r="C856" s="4"/>
      <c r="D856" s="4"/>
      <c r="M856" s="4"/>
    </row>
    <row r="857">
      <c r="C857" s="4"/>
      <c r="D857" s="4"/>
      <c r="M857" s="4"/>
    </row>
    <row r="858">
      <c r="C858" s="4"/>
      <c r="D858" s="4"/>
      <c r="M858" s="4"/>
    </row>
    <row r="859">
      <c r="C859" s="4"/>
      <c r="D859" s="4"/>
      <c r="M859" s="4"/>
    </row>
    <row r="860">
      <c r="C860" s="4"/>
      <c r="D860" s="4"/>
      <c r="M860" s="4"/>
    </row>
    <row r="861">
      <c r="C861" s="4"/>
      <c r="D861" s="4"/>
      <c r="M861" s="4"/>
    </row>
    <row r="862">
      <c r="C862" s="4"/>
      <c r="D862" s="4"/>
      <c r="M862" s="4"/>
    </row>
    <row r="863">
      <c r="C863" s="4"/>
      <c r="D863" s="4"/>
      <c r="M863" s="4"/>
    </row>
    <row r="864">
      <c r="C864" s="4"/>
      <c r="D864" s="4"/>
      <c r="M864" s="4"/>
    </row>
    <row r="865">
      <c r="C865" s="4"/>
      <c r="D865" s="4"/>
      <c r="M865" s="4"/>
    </row>
    <row r="866">
      <c r="C866" s="4"/>
      <c r="D866" s="4"/>
      <c r="M866" s="4"/>
    </row>
    <row r="867">
      <c r="C867" s="4"/>
      <c r="D867" s="4"/>
      <c r="M867" s="4"/>
    </row>
    <row r="868">
      <c r="C868" s="4"/>
      <c r="D868" s="4"/>
      <c r="M868" s="4"/>
    </row>
    <row r="869">
      <c r="C869" s="4"/>
      <c r="D869" s="4"/>
      <c r="M869" s="4"/>
    </row>
    <row r="870">
      <c r="C870" s="4"/>
      <c r="D870" s="4"/>
      <c r="M870" s="4"/>
    </row>
    <row r="871">
      <c r="C871" s="4"/>
      <c r="D871" s="4"/>
      <c r="M871" s="4"/>
    </row>
    <row r="872">
      <c r="C872" s="4"/>
      <c r="D872" s="4"/>
      <c r="M872" s="4"/>
    </row>
    <row r="873">
      <c r="C873" s="4"/>
      <c r="D873" s="4"/>
      <c r="M873" s="4"/>
    </row>
    <row r="874">
      <c r="C874" s="4"/>
      <c r="D874" s="4"/>
      <c r="M874" s="4"/>
    </row>
    <row r="875">
      <c r="C875" s="4"/>
      <c r="D875" s="4"/>
      <c r="M875" s="4"/>
    </row>
    <row r="876">
      <c r="C876" s="4"/>
      <c r="D876" s="4"/>
      <c r="M876" s="4"/>
    </row>
    <row r="877">
      <c r="C877" s="4"/>
      <c r="D877" s="4"/>
      <c r="M877" s="4"/>
    </row>
    <row r="878">
      <c r="C878" s="4"/>
      <c r="D878" s="4"/>
      <c r="M878" s="4"/>
    </row>
    <row r="879">
      <c r="C879" s="4"/>
      <c r="D879" s="4"/>
      <c r="M879" s="4"/>
    </row>
    <row r="880">
      <c r="C880" s="4"/>
      <c r="D880" s="4"/>
      <c r="M880" s="4"/>
    </row>
    <row r="881">
      <c r="C881" s="4"/>
      <c r="D881" s="4"/>
      <c r="M881" s="4"/>
    </row>
    <row r="882">
      <c r="C882" s="4"/>
      <c r="D882" s="4"/>
      <c r="M882" s="4"/>
    </row>
    <row r="883">
      <c r="C883" s="4"/>
      <c r="D883" s="4"/>
      <c r="M883" s="4"/>
    </row>
    <row r="884">
      <c r="C884" s="4"/>
      <c r="D884" s="4"/>
      <c r="M884" s="4"/>
    </row>
    <row r="885">
      <c r="C885" s="4"/>
      <c r="D885" s="4"/>
      <c r="M885" s="4"/>
    </row>
    <row r="886">
      <c r="C886" s="4"/>
      <c r="D886" s="4"/>
      <c r="M886" s="4"/>
    </row>
    <row r="887">
      <c r="C887" s="4"/>
      <c r="D887" s="4"/>
      <c r="M887" s="4"/>
    </row>
    <row r="888">
      <c r="C888" s="4"/>
      <c r="D888" s="4"/>
      <c r="M888" s="4"/>
    </row>
    <row r="889">
      <c r="C889" s="4"/>
      <c r="D889" s="4"/>
      <c r="M889" s="4"/>
    </row>
    <row r="890">
      <c r="C890" s="4"/>
      <c r="D890" s="4"/>
      <c r="M890" s="4"/>
    </row>
    <row r="891">
      <c r="C891" s="4"/>
      <c r="D891" s="4"/>
      <c r="M891" s="4"/>
    </row>
    <row r="892">
      <c r="C892" s="4"/>
      <c r="D892" s="4"/>
      <c r="M892" s="4"/>
    </row>
    <row r="893">
      <c r="C893" s="4"/>
      <c r="D893" s="4"/>
      <c r="M893" s="4"/>
    </row>
    <row r="894">
      <c r="C894" s="4"/>
      <c r="D894" s="4"/>
      <c r="M894" s="4"/>
    </row>
    <row r="895">
      <c r="C895" s="4"/>
      <c r="D895" s="4"/>
      <c r="M895" s="4"/>
    </row>
    <row r="896">
      <c r="C896" s="4"/>
      <c r="D896" s="4"/>
      <c r="M896" s="4"/>
    </row>
    <row r="897">
      <c r="C897" s="4"/>
      <c r="D897" s="4"/>
      <c r="M897" s="4"/>
    </row>
    <row r="898">
      <c r="C898" s="4"/>
      <c r="D898" s="4"/>
      <c r="M898" s="4"/>
    </row>
    <row r="899">
      <c r="C899" s="4"/>
      <c r="D899" s="4"/>
      <c r="M899" s="4"/>
    </row>
    <row r="900">
      <c r="C900" s="4"/>
      <c r="D900" s="4"/>
      <c r="M900" s="4"/>
    </row>
    <row r="901">
      <c r="C901" s="4"/>
      <c r="D901" s="4"/>
      <c r="M901" s="4"/>
    </row>
    <row r="902">
      <c r="C902" s="4"/>
      <c r="D902" s="4"/>
      <c r="M902" s="4"/>
    </row>
    <row r="903">
      <c r="C903" s="4"/>
      <c r="D903" s="4"/>
      <c r="M903" s="4"/>
    </row>
    <row r="904">
      <c r="C904" s="4"/>
      <c r="D904" s="4"/>
      <c r="M904" s="4"/>
    </row>
    <row r="905">
      <c r="C905" s="4"/>
      <c r="D905" s="4"/>
      <c r="M905" s="4"/>
    </row>
    <row r="906">
      <c r="C906" s="4"/>
      <c r="D906" s="4"/>
      <c r="M906" s="4"/>
    </row>
    <row r="907">
      <c r="C907" s="4"/>
      <c r="D907" s="4"/>
      <c r="M907" s="4"/>
    </row>
    <row r="908">
      <c r="C908" s="4"/>
      <c r="D908" s="4"/>
      <c r="M908" s="4"/>
    </row>
    <row r="909">
      <c r="C909" s="4"/>
      <c r="D909" s="4"/>
      <c r="M909" s="4"/>
    </row>
    <row r="910">
      <c r="C910" s="4"/>
      <c r="D910" s="4"/>
      <c r="M910" s="4"/>
    </row>
    <row r="911">
      <c r="C911" s="4"/>
      <c r="D911" s="4"/>
      <c r="M911" s="4"/>
    </row>
    <row r="912">
      <c r="C912" s="4"/>
      <c r="D912" s="4"/>
      <c r="M912" s="4"/>
    </row>
    <row r="913">
      <c r="C913" s="4"/>
      <c r="D913" s="4"/>
      <c r="M913" s="4"/>
    </row>
    <row r="914">
      <c r="C914" s="4"/>
      <c r="D914" s="4"/>
      <c r="M914" s="4"/>
    </row>
    <row r="915">
      <c r="C915" s="4"/>
      <c r="D915" s="4"/>
      <c r="M915" s="4"/>
    </row>
    <row r="916">
      <c r="C916" s="4"/>
      <c r="D916" s="4"/>
      <c r="M916" s="4"/>
    </row>
    <row r="917">
      <c r="C917" s="4"/>
      <c r="D917" s="4"/>
      <c r="M917" s="4"/>
    </row>
    <row r="918">
      <c r="C918" s="4"/>
      <c r="D918" s="4"/>
      <c r="M918" s="4"/>
    </row>
    <row r="919">
      <c r="C919" s="4"/>
      <c r="D919" s="4"/>
      <c r="M919" s="4"/>
    </row>
    <row r="920">
      <c r="C920" s="4"/>
      <c r="D920" s="4"/>
      <c r="M920" s="4"/>
    </row>
    <row r="921">
      <c r="C921" s="4"/>
      <c r="D921" s="4"/>
      <c r="M921" s="4"/>
    </row>
    <row r="922">
      <c r="C922" s="4"/>
      <c r="D922" s="4"/>
      <c r="M922" s="4"/>
    </row>
    <row r="923">
      <c r="C923" s="4"/>
      <c r="D923" s="4"/>
      <c r="M923" s="4"/>
    </row>
    <row r="924">
      <c r="C924" s="4"/>
      <c r="D924" s="4"/>
      <c r="M924" s="4"/>
    </row>
    <row r="925">
      <c r="C925" s="4"/>
      <c r="D925" s="4"/>
      <c r="M925" s="4"/>
    </row>
    <row r="926">
      <c r="C926" s="4"/>
      <c r="D926" s="4"/>
      <c r="M926" s="4"/>
    </row>
    <row r="927">
      <c r="C927" s="4"/>
      <c r="D927" s="4"/>
      <c r="M927" s="4"/>
    </row>
    <row r="928">
      <c r="C928" s="4"/>
      <c r="D928" s="4"/>
      <c r="M928" s="4"/>
    </row>
    <row r="929">
      <c r="C929" s="4"/>
      <c r="D929" s="4"/>
      <c r="M929" s="4"/>
    </row>
    <row r="930">
      <c r="C930" s="4"/>
      <c r="D930" s="4"/>
      <c r="M930" s="4"/>
    </row>
    <row r="931">
      <c r="C931" s="4"/>
      <c r="D931" s="4"/>
      <c r="M931" s="4"/>
    </row>
    <row r="932">
      <c r="C932" s="4"/>
      <c r="D932" s="4"/>
      <c r="M932" s="4"/>
    </row>
    <row r="933">
      <c r="C933" s="4"/>
      <c r="D933" s="4"/>
      <c r="M933" s="4"/>
    </row>
    <row r="934">
      <c r="C934" s="4"/>
      <c r="D934" s="4"/>
      <c r="M934" s="4"/>
    </row>
    <row r="935">
      <c r="C935" s="4"/>
      <c r="D935" s="4"/>
      <c r="M935" s="4"/>
    </row>
    <row r="936">
      <c r="C936" s="4"/>
      <c r="D936" s="4"/>
      <c r="M936" s="4"/>
    </row>
    <row r="937">
      <c r="C937" s="4"/>
      <c r="D937" s="4"/>
      <c r="M937" s="4"/>
    </row>
    <row r="938">
      <c r="C938" s="4"/>
      <c r="D938" s="4"/>
      <c r="M938" s="4"/>
    </row>
    <row r="939">
      <c r="C939" s="4"/>
      <c r="D939" s="4"/>
      <c r="M939" s="4"/>
    </row>
    <row r="940">
      <c r="C940" s="4"/>
      <c r="D940" s="4"/>
      <c r="M940" s="4"/>
    </row>
    <row r="941">
      <c r="C941" s="4"/>
      <c r="D941" s="4"/>
      <c r="M941" s="4"/>
    </row>
    <row r="942">
      <c r="C942" s="4"/>
      <c r="D942" s="4"/>
      <c r="M942" s="4"/>
    </row>
    <row r="943">
      <c r="C943" s="4"/>
      <c r="D943" s="4"/>
      <c r="M943" s="4"/>
    </row>
    <row r="944">
      <c r="C944" s="4"/>
      <c r="D944" s="4"/>
      <c r="M944" s="4"/>
    </row>
    <row r="945">
      <c r="C945" s="4"/>
      <c r="D945" s="4"/>
      <c r="M945" s="4"/>
    </row>
    <row r="946">
      <c r="C946" s="4"/>
      <c r="D946" s="4"/>
      <c r="M946" s="4"/>
    </row>
    <row r="947">
      <c r="C947" s="4"/>
      <c r="D947" s="4"/>
      <c r="M947" s="4"/>
    </row>
    <row r="948">
      <c r="C948" s="4"/>
      <c r="D948" s="4"/>
      <c r="M948" s="4"/>
    </row>
    <row r="949">
      <c r="C949" s="4"/>
      <c r="D949" s="4"/>
      <c r="M949" s="4"/>
    </row>
    <row r="950">
      <c r="C950" s="4"/>
      <c r="D950" s="4"/>
      <c r="M950" s="4"/>
    </row>
    <row r="951">
      <c r="C951" s="4"/>
      <c r="D951" s="4"/>
      <c r="M951" s="4"/>
    </row>
    <row r="952">
      <c r="C952" s="4"/>
      <c r="D952" s="4"/>
      <c r="M952" s="4"/>
    </row>
    <row r="953">
      <c r="C953" s="4"/>
      <c r="D953" s="4"/>
      <c r="M953" s="4"/>
    </row>
    <row r="954">
      <c r="C954" s="4"/>
      <c r="D954" s="4"/>
      <c r="M954" s="4"/>
    </row>
    <row r="955">
      <c r="C955" s="4"/>
      <c r="D955" s="4"/>
      <c r="M955" s="4"/>
    </row>
    <row r="956">
      <c r="C956" s="4"/>
      <c r="D956" s="4"/>
      <c r="M956" s="4"/>
    </row>
    <row r="957">
      <c r="C957" s="4"/>
      <c r="D957" s="4"/>
      <c r="M957" s="4"/>
    </row>
    <row r="958">
      <c r="C958" s="4"/>
      <c r="D958" s="4"/>
      <c r="M958" s="4"/>
    </row>
    <row r="959">
      <c r="C959" s="4"/>
      <c r="D959" s="4"/>
      <c r="M959" s="4"/>
    </row>
    <row r="960">
      <c r="C960" s="4"/>
      <c r="D960" s="4"/>
      <c r="M960" s="4"/>
    </row>
    <row r="961">
      <c r="C961" s="4"/>
      <c r="D961" s="4"/>
      <c r="M961" s="4"/>
    </row>
    <row r="962">
      <c r="C962" s="4"/>
      <c r="D962" s="4"/>
      <c r="M962" s="4"/>
    </row>
    <row r="963">
      <c r="C963" s="4"/>
      <c r="D963" s="4"/>
      <c r="M963" s="4"/>
    </row>
    <row r="964">
      <c r="C964" s="4"/>
      <c r="D964" s="4"/>
      <c r="M964" s="4"/>
    </row>
    <row r="965">
      <c r="C965" s="4"/>
      <c r="D965" s="4"/>
      <c r="M965" s="4"/>
    </row>
    <row r="966">
      <c r="C966" s="4"/>
      <c r="D966" s="4"/>
      <c r="M966" s="4"/>
    </row>
    <row r="967">
      <c r="C967" s="4"/>
      <c r="D967" s="4"/>
      <c r="M967" s="4"/>
    </row>
    <row r="968">
      <c r="C968" s="4"/>
      <c r="D968" s="4"/>
      <c r="M968" s="4"/>
    </row>
    <row r="969">
      <c r="C969" s="4"/>
      <c r="D969" s="4"/>
      <c r="M969" s="4"/>
    </row>
    <row r="970">
      <c r="C970" s="4"/>
      <c r="D970" s="4"/>
      <c r="M970" s="4"/>
    </row>
    <row r="971">
      <c r="C971" s="4"/>
      <c r="D971" s="4"/>
      <c r="M971" s="4"/>
    </row>
    <row r="972">
      <c r="C972" s="4"/>
      <c r="D972" s="4"/>
      <c r="M972" s="4"/>
    </row>
    <row r="973">
      <c r="C973" s="4"/>
      <c r="D973" s="4"/>
      <c r="M973" s="4"/>
    </row>
    <row r="974">
      <c r="C974" s="4"/>
      <c r="D974" s="4"/>
      <c r="M974" s="4"/>
    </row>
    <row r="975">
      <c r="C975" s="4"/>
      <c r="D975" s="4"/>
      <c r="M975" s="4"/>
    </row>
    <row r="976">
      <c r="C976" s="4"/>
      <c r="D976" s="4"/>
      <c r="M976" s="4"/>
    </row>
    <row r="977">
      <c r="C977" s="4"/>
      <c r="D977" s="4"/>
      <c r="M977" s="4"/>
    </row>
    <row r="978">
      <c r="C978" s="4"/>
      <c r="D978" s="4"/>
      <c r="M978" s="4"/>
    </row>
    <row r="979">
      <c r="C979" s="4"/>
      <c r="D979" s="4"/>
      <c r="M979" s="4"/>
    </row>
    <row r="980">
      <c r="C980" s="4"/>
      <c r="D980" s="4"/>
      <c r="M980" s="4"/>
    </row>
    <row r="981">
      <c r="C981" s="4"/>
      <c r="D981" s="4"/>
      <c r="M981" s="4"/>
    </row>
    <row r="982">
      <c r="C982" s="4"/>
      <c r="D982" s="4"/>
      <c r="M982" s="4"/>
    </row>
    <row r="983">
      <c r="C983" s="4"/>
      <c r="D983" s="4"/>
      <c r="M983" s="4"/>
    </row>
    <row r="984">
      <c r="C984" s="4"/>
      <c r="D984" s="4"/>
      <c r="M984" s="4"/>
    </row>
    <row r="985">
      <c r="C985" s="4"/>
      <c r="D985" s="4"/>
      <c r="M985" s="4"/>
    </row>
    <row r="986">
      <c r="C986" s="4"/>
      <c r="D986" s="4"/>
      <c r="M986" s="4"/>
    </row>
    <row r="987">
      <c r="C987" s="4"/>
      <c r="D987" s="4"/>
      <c r="M987" s="4"/>
    </row>
    <row r="988">
      <c r="C988" s="4"/>
      <c r="D988" s="4"/>
      <c r="M988" s="4"/>
    </row>
    <row r="989">
      <c r="C989" s="4"/>
      <c r="D989" s="4"/>
      <c r="M989" s="4"/>
    </row>
    <row r="990">
      <c r="C990" s="4"/>
      <c r="D990" s="4"/>
      <c r="M990" s="4"/>
    </row>
    <row r="991">
      <c r="C991" s="4"/>
      <c r="D991" s="4"/>
      <c r="M991" s="4"/>
    </row>
    <row r="992">
      <c r="C992" s="4"/>
      <c r="D992" s="4"/>
      <c r="M992" s="4"/>
    </row>
    <row r="993">
      <c r="C993" s="4"/>
      <c r="D993" s="4"/>
      <c r="M993" s="4"/>
    </row>
    <row r="994">
      <c r="C994" s="4"/>
      <c r="D994" s="4"/>
      <c r="M994" s="4"/>
    </row>
    <row r="995">
      <c r="C995" s="4"/>
      <c r="D995" s="4"/>
      <c r="M995" s="4"/>
    </row>
    <row r="996">
      <c r="C996" s="4"/>
      <c r="D996" s="4"/>
      <c r="M996" s="4"/>
    </row>
    <row r="997">
      <c r="C997" s="4"/>
      <c r="D997" s="4"/>
      <c r="M997" s="4"/>
    </row>
    <row r="998">
      <c r="C998" s="4"/>
      <c r="D998" s="4"/>
      <c r="M998" s="4"/>
    </row>
    <row r="999">
      <c r="C999" s="4"/>
      <c r="D999" s="4"/>
      <c r="M999" s="4"/>
    </row>
    <row r="1000">
      <c r="C1000" s="4"/>
      <c r="D1000" s="4"/>
      <c r="M1000" s="4"/>
    </row>
    <row r="1001">
      <c r="C1001" s="4"/>
      <c r="D1001" s="4"/>
      <c r="M1001" s="4"/>
    </row>
  </sheetData>
  <conditionalFormatting sqref="M1:M1001">
    <cfRule type="notContainsBlanks" dxfId="0" priority="1">
      <formula>LEN(TRIM(M1))&gt;0</formula>
    </cfRule>
  </conditionalFormatting>
  <dataValidations>
    <dataValidation type="list" allowBlank="1" showErrorMessage="1" sqref="D2:D1001">
      <formula1>"CAMIAO,CAMIAO+REBOQUE,VAZIO,LEVE"</formula1>
    </dataValidation>
    <dataValidation type="list" allowBlank="1" showErrorMessage="1" sqref="C2:C1001">
      <formula1>"Ida,Volta"</formula1>
    </dataValidation>
    <dataValidation type="list" allowBlank="1" showErrorMessage="1" sqref="M2:M1001">
      <formula1>Tabela_ConsPort!$D$2:$D$10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6" width="14.43"/>
    <col customWidth="1" min="8" max="8" width="14.71"/>
    <col customWidth="1" min="10" max="10" width="12.71"/>
    <col customWidth="1" min="11" max="11" width="20.71"/>
    <col customWidth="1" min="12" max="12" width="17.0"/>
    <col customWidth="1" min="13" max="13" width="12.14"/>
    <col customWidth="1" hidden="1" min="14" max="15" width="12.14"/>
    <col customWidth="1" min="16" max="16" width="12.14"/>
    <col customWidth="1" min="17" max="17" width="7.86"/>
    <col customWidth="1" min="18" max="18" width="8.86"/>
    <col customWidth="1" min="19" max="19" width="20.0"/>
    <col customWidth="1" min="20" max="20" width="16.86"/>
    <col customWidth="1" min="21" max="22" width="14.43"/>
    <col customWidth="1" min="23" max="23" width="14.71"/>
    <col customWidth="1" min="24" max="24" width="12.57"/>
    <col customWidth="1" min="27" max="27" width="12.0"/>
    <col customWidth="1" min="28" max="28" width="12.14"/>
    <col customWidth="1" min="31" max="31" width="23.0"/>
    <col customWidth="1" min="32" max="32" width="16.86"/>
    <col customWidth="1" min="34" max="34" width="18.29"/>
    <col customWidth="1" min="36" max="36" width="23.14"/>
    <col customWidth="1" min="37" max="39" width="16.71"/>
  </cols>
  <sheetData>
    <row r="1">
      <c r="A1" s="5"/>
      <c r="B1" s="6"/>
      <c r="C1" s="5"/>
      <c r="D1" s="6" t="s">
        <v>39</v>
      </c>
      <c r="E1" s="7"/>
      <c r="F1" s="5"/>
      <c r="G1" s="6"/>
      <c r="H1" s="5"/>
      <c r="I1" s="6"/>
      <c r="J1" s="8"/>
      <c r="K1" s="5"/>
      <c r="L1" s="8"/>
      <c r="M1" s="9"/>
      <c r="N1" s="9"/>
      <c r="O1" s="9"/>
      <c r="P1" s="9"/>
      <c r="Q1" s="6"/>
      <c r="R1" s="6"/>
      <c r="S1" s="5"/>
      <c r="T1" s="6"/>
      <c r="U1" s="6"/>
      <c r="V1" s="6"/>
      <c r="W1" s="6"/>
      <c r="X1" s="6"/>
      <c r="Y1" s="5"/>
      <c r="Z1" s="5"/>
      <c r="AA1" s="5"/>
      <c r="AB1" s="6"/>
      <c r="AC1" s="6"/>
      <c r="AD1" s="10"/>
      <c r="AE1" s="6"/>
      <c r="AF1" s="6"/>
      <c r="AG1" s="6"/>
      <c r="AH1" s="6"/>
      <c r="AI1" s="6"/>
      <c r="AJ1" s="5"/>
      <c r="AK1" s="6"/>
      <c r="AL1" s="11"/>
      <c r="AM1" s="11"/>
    </row>
    <row r="2">
      <c r="A2" s="5"/>
      <c r="B2" s="6"/>
      <c r="C2" s="5"/>
      <c r="D2" s="6"/>
      <c r="E2" s="7"/>
      <c r="F2" s="5"/>
      <c r="G2" s="6"/>
      <c r="H2" s="5"/>
      <c r="I2" s="6"/>
      <c r="J2" s="8"/>
      <c r="K2" s="5"/>
      <c r="L2" s="8"/>
      <c r="M2" s="9"/>
      <c r="N2" s="9"/>
      <c r="O2" s="9"/>
      <c r="P2" s="9"/>
      <c r="Q2" s="6"/>
      <c r="R2" s="6"/>
      <c r="S2" s="5"/>
      <c r="T2" s="6"/>
      <c r="U2" s="6"/>
      <c r="V2" s="6"/>
      <c r="W2" s="6"/>
      <c r="X2" s="6"/>
      <c r="Y2" s="5"/>
      <c r="Z2" s="5"/>
      <c r="AA2" s="5"/>
      <c r="AB2" s="6"/>
      <c r="AC2" s="6"/>
      <c r="AD2" s="10"/>
      <c r="AE2" s="6"/>
      <c r="AF2" s="6"/>
      <c r="AG2" s="6"/>
      <c r="AH2" s="6"/>
      <c r="AI2" s="6"/>
      <c r="AJ2" s="5"/>
      <c r="AK2" s="6"/>
      <c r="AL2" s="11"/>
      <c r="AM2" s="11"/>
    </row>
    <row r="3">
      <c r="A3" s="5" t="s">
        <v>0</v>
      </c>
      <c r="B3" s="6" t="s">
        <v>40</v>
      </c>
      <c r="C3" s="5" t="s">
        <v>41</v>
      </c>
      <c r="D3" s="6" t="s">
        <v>42</v>
      </c>
      <c r="E3" s="7" t="s">
        <v>43</v>
      </c>
      <c r="F3" s="5" t="s">
        <v>44</v>
      </c>
      <c r="G3" s="6" t="s">
        <v>45</v>
      </c>
      <c r="H3" s="12" t="s">
        <v>12</v>
      </c>
      <c r="I3" s="6" t="s">
        <v>46</v>
      </c>
      <c r="J3" s="8" t="s">
        <v>47</v>
      </c>
      <c r="K3" s="5" t="s">
        <v>48</v>
      </c>
      <c r="L3" s="8" t="s">
        <v>49</v>
      </c>
      <c r="M3" s="9" t="s">
        <v>50</v>
      </c>
      <c r="N3" s="6" t="s">
        <v>51</v>
      </c>
      <c r="O3" s="6" t="s">
        <v>52</v>
      </c>
      <c r="P3" s="6" t="s">
        <v>53</v>
      </c>
      <c r="Q3" s="13" t="s">
        <v>54</v>
      </c>
      <c r="R3" s="14"/>
      <c r="S3" s="5" t="s">
        <v>55</v>
      </c>
      <c r="T3" s="6" t="s">
        <v>56</v>
      </c>
      <c r="U3" s="6" t="s">
        <v>57</v>
      </c>
      <c r="V3" s="6" t="s">
        <v>58</v>
      </c>
      <c r="W3" s="6" t="s">
        <v>59</v>
      </c>
      <c r="X3" s="6" t="s">
        <v>60</v>
      </c>
      <c r="Y3" s="5" t="s">
        <v>61</v>
      </c>
      <c r="Z3" s="5" t="s">
        <v>62</v>
      </c>
      <c r="AA3" s="5" t="s">
        <v>63</v>
      </c>
      <c r="AB3" s="6" t="s">
        <v>64</v>
      </c>
      <c r="AC3" s="6" t="s">
        <v>65</v>
      </c>
      <c r="AD3" s="10" t="s">
        <v>66</v>
      </c>
      <c r="AE3" s="6" t="s">
        <v>67</v>
      </c>
      <c r="AF3" s="6" t="s">
        <v>68</v>
      </c>
      <c r="AG3" s="6" t="s">
        <v>69</v>
      </c>
      <c r="AH3" s="6" t="s">
        <v>70</v>
      </c>
      <c r="AI3" s="6" t="s">
        <v>71</v>
      </c>
      <c r="AJ3" s="5" t="s">
        <v>72</v>
      </c>
      <c r="AK3" s="6" t="s">
        <v>73</v>
      </c>
      <c r="AL3" s="15" t="s">
        <v>74</v>
      </c>
      <c r="AM3" s="15" t="s">
        <v>75</v>
      </c>
    </row>
    <row r="4" hidden="1">
      <c r="A4" s="16" t="s">
        <v>76</v>
      </c>
      <c r="B4" s="6">
        <v>29.0</v>
      </c>
      <c r="C4" s="5" t="s">
        <v>18</v>
      </c>
      <c r="D4" s="6" t="s">
        <v>77</v>
      </c>
      <c r="E4" s="7"/>
      <c r="F4" s="5"/>
      <c r="G4" s="6">
        <v>580.0</v>
      </c>
      <c r="H4" s="17" t="str">
        <f>IFERROR(VLOOKUP(A4, Registo_Diario_Motorista!$A$2:$M$5001, 13, FALSE), "")</f>
        <v/>
      </c>
      <c r="I4" s="18">
        <f>IFERROR(VLOOKUP(H4, Tabela_ConsPort!$D$2:$E$9, 2, FALSE), 0)</f>
        <v>0</v>
      </c>
      <c r="J4" s="19"/>
      <c r="K4" s="5" t="s">
        <v>19</v>
      </c>
      <c r="L4" s="20">
        <v>28000.0</v>
      </c>
      <c r="M4" s="9">
        <f t="shared" ref="M4:M12" si="1">IF(K4="LEVE","Volume",L4/IF(K4="CAMIAO+REBOQUE",24000,14000))</f>
        <v>1.166666667</v>
      </c>
      <c r="N4" s="6">
        <f t="shared" ref="N4:N5" si="2">L4*G4</f>
        <v>16240000</v>
      </c>
      <c r="O4" s="21">
        <f t="shared" ref="O4:O5" si="3">SUMIF(A:A,A4,N:N)</f>
        <v>16240000</v>
      </c>
      <c r="P4" s="9">
        <f t="shared" ref="P4:P5" si="4">IF(OR(L4=0, I4="VAZIO", I4="RETORNO"), 1, If(I4="CAMIAO", IF(L4/14000 &gt;= 1, 1, L4/14000), IF(L4/24000 &gt;= 1, 1, L4/24000)))</f>
        <v>1</v>
      </c>
      <c r="Q4" s="6">
        <f>VLOOKUP(L4, Tabela_ConsPort!$A$2:$B$7, 2, TRUE)</f>
        <v>45</v>
      </c>
      <c r="R4" s="22">
        <f t="shared" ref="R4:R5" si="5">Q4/100*G4</f>
        <v>261</v>
      </c>
      <c r="S4" s="16">
        <v>1.834</v>
      </c>
      <c r="T4" s="10">
        <f t="shared" ref="T4:T5" si="6">R4*S4</f>
        <v>478.674</v>
      </c>
      <c r="U4" s="22">
        <f t="shared" ref="U4:U5" si="7">(G4*2.5)/100</f>
        <v>14.5</v>
      </c>
      <c r="V4" s="10">
        <f t="shared" ref="V4:V5" si="8">U4*0.3</f>
        <v>4.35</v>
      </c>
      <c r="W4" s="10">
        <f>custo_motorista_e_veiculo!C$11*G4</f>
        <v>154.9360105</v>
      </c>
      <c r="X4" s="10">
        <f>G4*custo_motorista_e_veiculo!L$13</f>
        <v>159.2785146</v>
      </c>
      <c r="Y4" s="16">
        <v>70.0</v>
      </c>
      <c r="Z4" s="16">
        <v>10.0</v>
      </c>
      <c r="AA4" s="5">
        <v>0.0</v>
      </c>
      <c r="AB4" s="10">
        <f t="shared" ref="AB4:AB5" si="9">AA4*8</f>
        <v>0</v>
      </c>
      <c r="AC4" s="10">
        <f t="shared" ref="AC4:AC5" si="10">J4+T4+W4+X4+V4</f>
        <v>797.2385251</v>
      </c>
      <c r="AD4" s="10">
        <f t="shared" ref="AD4:AD5" si="11">IFERROR(AC4/L4, 0)</f>
        <v>0.02847280447</v>
      </c>
      <c r="AE4" s="10">
        <f>P4*SUMIF(A:A,A4,AF:AF)</f>
        <v>1487.73305</v>
      </c>
      <c r="AF4" s="10">
        <f>SUMIFS(AC:AC,A:A,A4)+SUMIFS(Y:Y,A:A,A4)+SUMIFS(Z:Z,A:A,A4)+SUMIFS(AB:AB,A:A,A4)+SUMIFS(I:I,A:A,A4)</f>
        <v>1487.73305</v>
      </c>
      <c r="AG4" s="10">
        <f>SUMIFS(AC:AC, A:A, A4) * 1.25</f>
        <v>1727.166313</v>
      </c>
      <c r="AH4" s="10">
        <f>SUMIFS(AJ:AJ,A:A,A4)</f>
        <v>1700</v>
      </c>
      <c r="AI4" s="10">
        <f>SUMIF(A:A, A4, AH:AH) - SUMIF(A:A, A4, AF:AF)</f>
        <v>212.2669497</v>
      </c>
      <c r="AJ4" s="16">
        <v>1700.0</v>
      </c>
      <c r="AK4" s="10" t="str">
        <f>IF(AI4&lt;0, "🔴 PREJUÍZO", "🟢 OK")</f>
        <v>🟢 OK</v>
      </c>
      <c r="AL4" s="23"/>
      <c r="AM4" s="23"/>
    </row>
    <row r="5" hidden="1">
      <c r="A5" s="16" t="s">
        <v>76</v>
      </c>
      <c r="B5" s="6">
        <v>30.0</v>
      </c>
      <c r="C5" s="5" t="s">
        <v>22</v>
      </c>
      <c r="D5" s="6" t="s">
        <v>78</v>
      </c>
      <c r="E5" s="7"/>
      <c r="F5" s="5"/>
      <c r="G5" s="6">
        <v>580.0</v>
      </c>
      <c r="H5" s="17" t="str">
        <f>IFERROR(VLOOKUP(A5, Registo_Diario_Motorista!$A$2:$M$5001, 13, FALSE), "")</f>
        <v/>
      </c>
      <c r="I5" s="18">
        <f>IFERROR(VLOOKUP(H5, Tabela_ConsPort!$D$2:$E$9, 2, FALSE), 0)</f>
        <v>0</v>
      </c>
      <c r="J5" s="19"/>
      <c r="K5" s="12" t="s">
        <v>79</v>
      </c>
      <c r="L5" s="20">
        <v>0.0</v>
      </c>
      <c r="M5" s="9">
        <f t="shared" si="1"/>
        <v>0</v>
      </c>
      <c r="N5" s="6">
        <f t="shared" si="2"/>
        <v>0</v>
      </c>
      <c r="O5" s="21">
        <f t="shared" si="3"/>
        <v>16240000</v>
      </c>
      <c r="P5" s="9">
        <f t="shared" si="4"/>
        <v>1</v>
      </c>
      <c r="Q5" s="6">
        <f>VLOOKUP(L5, Tabela_ConsPort!$A$2:$B$7, 2, TRUE)</f>
        <v>25</v>
      </c>
      <c r="R5" s="22">
        <f t="shared" si="5"/>
        <v>145</v>
      </c>
      <c r="S5" s="16">
        <v>1.834</v>
      </c>
      <c r="T5" s="10">
        <f t="shared" si="6"/>
        <v>265.93</v>
      </c>
      <c r="U5" s="22">
        <f t="shared" si="7"/>
        <v>14.5</v>
      </c>
      <c r="V5" s="10">
        <f t="shared" si="8"/>
        <v>4.35</v>
      </c>
      <c r="W5" s="10">
        <f>custo_motorista_e_veiculo!C$11*G5</f>
        <v>154.9360105</v>
      </c>
      <c r="X5" s="10">
        <f>G5*custo_motorista_e_veiculo!L$13</f>
        <v>159.2785146</v>
      </c>
      <c r="Y5" s="5">
        <v>0.0</v>
      </c>
      <c r="Z5" s="5">
        <v>18.0</v>
      </c>
      <c r="AA5" s="5">
        <v>1.0</v>
      </c>
      <c r="AB5" s="10">
        <f t="shared" si="9"/>
        <v>8</v>
      </c>
      <c r="AC5" s="10">
        <f t="shared" si="10"/>
        <v>584.4945251</v>
      </c>
      <c r="AD5" s="10">
        <f t="shared" si="11"/>
        <v>0</v>
      </c>
      <c r="AE5" s="10"/>
      <c r="AF5" s="10"/>
      <c r="AG5" s="10"/>
      <c r="AH5" s="10"/>
      <c r="AI5" s="10"/>
      <c r="AJ5" s="16"/>
      <c r="AK5" s="10"/>
      <c r="AL5" s="23"/>
      <c r="AM5" s="23"/>
    </row>
    <row r="6" hidden="1">
      <c r="A6" s="16"/>
      <c r="B6" s="6"/>
      <c r="C6" s="5"/>
      <c r="D6" s="6"/>
      <c r="E6" s="7"/>
      <c r="F6" s="5"/>
      <c r="G6" s="6"/>
      <c r="H6" s="17" t="str">
        <f>IFERROR(VLOOKUP(A6, Registo_Diario_Motorista!$A$2:$M$5001, 13, FALSE), "")</f>
        <v/>
      </c>
      <c r="I6" s="18"/>
      <c r="J6" s="19"/>
      <c r="K6" s="5"/>
      <c r="L6" s="20"/>
      <c r="M6" s="9">
        <f t="shared" si="1"/>
        <v>0</v>
      </c>
      <c r="N6" s="6"/>
      <c r="O6" s="21"/>
      <c r="P6" s="9"/>
      <c r="Q6" s="6"/>
      <c r="R6" s="22"/>
      <c r="S6" s="16"/>
      <c r="T6" s="10"/>
      <c r="U6" s="22"/>
      <c r="V6" s="10"/>
      <c r="W6" s="10"/>
      <c r="X6" s="10"/>
      <c r="Y6" s="5"/>
      <c r="Z6" s="5"/>
      <c r="AA6" s="5"/>
      <c r="AB6" s="10"/>
      <c r="AC6" s="10"/>
      <c r="AD6" s="10"/>
      <c r="AE6" s="10"/>
      <c r="AF6" s="10"/>
      <c r="AG6" s="10"/>
      <c r="AH6" s="10"/>
      <c r="AI6" s="10"/>
      <c r="AJ6" s="16"/>
      <c r="AK6" s="10"/>
      <c r="AL6" s="23"/>
      <c r="AM6" s="23"/>
    </row>
    <row r="7" hidden="1">
      <c r="A7" s="16" t="s">
        <v>80</v>
      </c>
      <c r="B7" s="24">
        <v>46178.0</v>
      </c>
      <c r="C7" s="5" t="s">
        <v>18</v>
      </c>
      <c r="D7" s="6" t="s">
        <v>81</v>
      </c>
      <c r="E7" s="7">
        <v>338165.0</v>
      </c>
      <c r="F7" s="5">
        <v>338318.0</v>
      </c>
      <c r="G7" s="6">
        <f t="shared" ref="G7:G12" si="12">F7-E7</f>
        <v>153</v>
      </c>
      <c r="H7" s="17" t="str">
        <f>IFERROR(VLOOKUP(A7, Registo_Diario_Motorista!$A$2:$M$5001, 13, FALSE), "")</f>
        <v/>
      </c>
      <c r="I7" s="18">
        <f>IFERROR(VLOOKUP(H7, Tabela_ConsPort!$D$2:$E$9, 2, FALSE), 0)</f>
        <v>0</v>
      </c>
      <c r="J7" s="19"/>
      <c r="K7" s="5" t="s">
        <v>19</v>
      </c>
      <c r="L7" s="8">
        <f>20000-L8-L9-L10-L11</f>
        <v>11520</v>
      </c>
      <c r="M7" s="9">
        <f t="shared" si="1"/>
        <v>0.48</v>
      </c>
      <c r="N7" s="6">
        <f t="shared" ref="N7:N12" si="13">L7*G7</f>
        <v>1762560</v>
      </c>
      <c r="O7" s="21">
        <f t="shared" ref="O7:O12" si="14">SUMIF(A:A,A7,N:N)</f>
        <v>2171440</v>
      </c>
      <c r="P7" s="9">
        <f t="shared" ref="P7:P12" si="15">IF(OR(L7=0, I7="VAZIO", I7="RETORNO"), 1, If(I7="CAMIAO", IF(L7/14000 &gt;= 1, 1, L7/14000), IF(L7/24000 &gt;= 1, 1, L7/24000)))</f>
        <v>0.48</v>
      </c>
      <c r="Q7" s="6">
        <f>VLOOKUP(L7, Tabela_ConsPort!$A$2:$B$7, 2, TRUE)</f>
        <v>28</v>
      </c>
      <c r="R7" s="22">
        <f t="shared" ref="R7:R12" si="16">Q7/100*G7</f>
        <v>42.84</v>
      </c>
      <c r="S7" s="16">
        <v>1.834</v>
      </c>
      <c r="T7" s="10">
        <f t="shared" ref="T7:T12" si="17">R7*S7</f>
        <v>78.56856</v>
      </c>
      <c r="U7" s="22">
        <f t="shared" ref="U7:U12" si="18">(G7*2.5)/100</f>
        <v>3.825</v>
      </c>
      <c r="V7" s="10">
        <f t="shared" ref="V7:V12" si="19">U7*0.3</f>
        <v>1.1475</v>
      </c>
      <c r="W7" s="10">
        <f>custo_motorista_e_veiculo!C$11*G7</f>
        <v>40.87105105</v>
      </c>
      <c r="X7" s="10">
        <f>G7*custo_motorista_e_veiculo!L$13</f>
        <v>42.01657368</v>
      </c>
      <c r="Y7" s="5">
        <v>70.0</v>
      </c>
      <c r="Z7" s="5">
        <v>35.0</v>
      </c>
      <c r="AA7" s="25"/>
      <c r="AB7" s="10">
        <f t="shared" ref="AB7:AB12" si="20">AA7*8</f>
        <v>0</v>
      </c>
      <c r="AC7" s="10">
        <f t="shared" ref="AC7:AC12" si="21">J7+T7+W7+X7+V7</f>
        <v>162.6036847</v>
      </c>
      <c r="AD7" s="10">
        <f t="shared" ref="AD7:AD12" si="22">IFERROR(AC7/L7, 0)</f>
        <v>0.01411490319</v>
      </c>
      <c r="AE7" s="10">
        <f t="shared" ref="AE7:AE12" si="23">P7*SUMIF(A:A,A7,AF:AF)</f>
        <v>274.53309</v>
      </c>
      <c r="AF7" s="10">
        <f>SUMIFS(AC:AC,A:A,A7)+SUMIFS(Y:Y,A:A,A7)+SUMIFS(Z:Z,A:A,A7)+SUMIFS(AB:AB,A:A,A7)+SUMIFS(I:I,A:A,A7)</f>
        <v>571.9439375</v>
      </c>
      <c r="AG7" s="10">
        <f>SUMIFS(AC:AC, A:A, A7) * 1.25</f>
        <v>583.6799219</v>
      </c>
      <c r="AH7" s="10">
        <f>SUMIFS(AJ:AJ,A:A,A7)</f>
        <v>1500</v>
      </c>
      <c r="AI7" s="10">
        <f>SUMIF(A:A, A7, AH:AH) - SUMIF(A:A, A7, AF:AF)</f>
        <v>928.0560625</v>
      </c>
      <c r="AJ7" s="16">
        <v>1500.0</v>
      </c>
      <c r="AK7" s="10" t="str">
        <f>IF(AI7&lt;0, "🔴 PREJUÍZO", "🟢 OK")</f>
        <v>🟢 OK</v>
      </c>
      <c r="AL7" s="23"/>
      <c r="AM7" s="23"/>
    </row>
    <row r="8" hidden="1">
      <c r="A8" s="16" t="s">
        <v>80</v>
      </c>
      <c r="B8" s="24">
        <v>46179.0</v>
      </c>
      <c r="C8" s="5" t="s">
        <v>18</v>
      </c>
      <c r="D8" s="6" t="s">
        <v>82</v>
      </c>
      <c r="E8" s="7">
        <v>338318.0</v>
      </c>
      <c r="F8" s="5">
        <v>338358.0</v>
      </c>
      <c r="G8" s="6">
        <f t="shared" si="12"/>
        <v>40</v>
      </c>
      <c r="H8" s="17" t="str">
        <f>IFERROR(VLOOKUP(A8, Registo_Diario_Motorista!$A$2:$M$5001, 13, FALSE), "")</f>
        <v/>
      </c>
      <c r="I8" s="18">
        <f>IFERROR(VLOOKUP(H8, Tabela_ConsPort!$D$2:$E$9, 2, FALSE), 0)</f>
        <v>0</v>
      </c>
      <c r="J8" s="19"/>
      <c r="K8" s="5" t="s">
        <v>25</v>
      </c>
      <c r="L8" s="8">
        <v>5620.0</v>
      </c>
      <c r="M8" s="9">
        <f t="shared" si="1"/>
        <v>0.4014285714</v>
      </c>
      <c r="N8" s="6">
        <f t="shared" si="13"/>
        <v>224800</v>
      </c>
      <c r="O8" s="21">
        <f t="shared" si="14"/>
        <v>2171440</v>
      </c>
      <c r="P8" s="9">
        <f t="shared" si="15"/>
        <v>0.2341666667</v>
      </c>
      <c r="Q8" s="6">
        <f>VLOOKUP(L8, Tabela_ConsPort!$A$2:$B$7, 2, TRUE)</f>
        <v>25</v>
      </c>
      <c r="R8" s="22">
        <f t="shared" si="16"/>
        <v>10</v>
      </c>
      <c r="S8" s="16">
        <v>1.834</v>
      </c>
      <c r="T8" s="10">
        <f t="shared" si="17"/>
        <v>18.34</v>
      </c>
      <c r="U8" s="22">
        <f t="shared" si="18"/>
        <v>1</v>
      </c>
      <c r="V8" s="10">
        <f t="shared" si="19"/>
        <v>0.3</v>
      </c>
      <c r="W8" s="10">
        <f>custo_motorista_e_veiculo!C$11*G8</f>
        <v>10.68524211</v>
      </c>
      <c r="X8" s="10">
        <f>G8*custo_motorista_e_veiculo!L$13</f>
        <v>10.98472515</v>
      </c>
      <c r="Y8" s="5"/>
      <c r="Z8" s="26"/>
      <c r="AA8" s="25"/>
      <c r="AB8" s="10">
        <f t="shared" si="20"/>
        <v>0</v>
      </c>
      <c r="AC8" s="10">
        <f t="shared" si="21"/>
        <v>40.30996725</v>
      </c>
      <c r="AD8" s="10">
        <f t="shared" si="22"/>
        <v>0.007172592038</v>
      </c>
      <c r="AE8" s="10">
        <f t="shared" si="23"/>
        <v>133.9302054</v>
      </c>
      <c r="AF8" s="10"/>
      <c r="AG8" s="10"/>
      <c r="AH8" s="10"/>
      <c r="AI8" s="10"/>
      <c r="AJ8" s="16"/>
      <c r="AK8" s="10"/>
      <c r="AL8" s="23"/>
      <c r="AM8" s="23"/>
    </row>
    <row r="9" hidden="1">
      <c r="A9" s="16" t="s">
        <v>80</v>
      </c>
      <c r="B9" s="24">
        <v>46180.0</v>
      </c>
      <c r="C9" s="5" t="s">
        <v>18</v>
      </c>
      <c r="D9" s="6" t="s">
        <v>83</v>
      </c>
      <c r="E9" s="7">
        <v>338358.0</v>
      </c>
      <c r="F9" s="5">
        <v>338519.0</v>
      </c>
      <c r="G9" s="6">
        <f t="shared" si="12"/>
        <v>161</v>
      </c>
      <c r="H9" s="17" t="str">
        <f>IFERROR(VLOOKUP(A9, Registo_Diario_Motorista!$A$2:$M$5001, 13, FALSE), "")</f>
        <v/>
      </c>
      <c r="I9" s="18">
        <f>IFERROR(VLOOKUP(H9, Tabela_ConsPort!$D$2:$E$9, 2, FALSE), 0)</f>
        <v>0</v>
      </c>
      <c r="J9" s="19"/>
      <c r="K9" s="5" t="s">
        <v>25</v>
      </c>
      <c r="L9" s="8">
        <v>200.0</v>
      </c>
      <c r="M9" s="9">
        <f t="shared" si="1"/>
        <v>0.01428571429</v>
      </c>
      <c r="N9" s="6">
        <f t="shared" si="13"/>
        <v>32200</v>
      </c>
      <c r="O9" s="21">
        <f t="shared" si="14"/>
        <v>2171440</v>
      </c>
      <c r="P9" s="9">
        <f t="shared" si="15"/>
        <v>0.008333333333</v>
      </c>
      <c r="Q9" s="6">
        <f>VLOOKUP(L9, Tabela_ConsPort!$A$2:$B$7, 2, TRUE)</f>
        <v>25</v>
      </c>
      <c r="R9" s="22">
        <f t="shared" si="16"/>
        <v>40.25</v>
      </c>
      <c r="S9" s="16">
        <v>1.834</v>
      </c>
      <c r="T9" s="10">
        <f t="shared" si="17"/>
        <v>73.8185</v>
      </c>
      <c r="U9" s="22">
        <f t="shared" si="18"/>
        <v>4.025</v>
      </c>
      <c r="V9" s="10">
        <f t="shared" si="19"/>
        <v>1.2075</v>
      </c>
      <c r="W9" s="10">
        <f>custo_motorista_e_veiculo!C$11*G9</f>
        <v>43.00809947</v>
      </c>
      <c r="X9" s="10">
        <f>G9*custo_motorista_e_veiculo!L$13</f>
        <v>44.21351871</v>
      </c>
      <c r="Y9" s="5"/>
      <c r="Z9" s="26"/>
      <c r="AA9" s="25"/>
      <c r="AB9" s="10">
        <f t="shared" si="20"/>
        <v>0</v>
      </c>
      <c r="AC9" s="10">
        <f t="shared" si="21"/>
        <v>162.2476182</v>
      </c>
      <c r="AD9" s="10">
        <f t="shared" si="22"/>
        <v>0.8112380909</v>
      </c>
      <c r="AE9" s="10">
        <f t="shared" si="23"/>
        <v>4.766199479</v>
      </c>
      <c r="AF9" s="10"/>
      <c r="AG9" s="10"/>
      <c r="AH9" s="10"/>
      <c r="AI9" s="10"/>
      <c r="AJ9" s="16"/>
      <c r="AK9" s="10"/>
      <c r="AL9" s="23"/>
      <c r="AM9" s="23"/>
    </row>
    <row r="10" hidden="1">
      <c r="A10" s="16" t="s">
        <v>80</v>
      </c>
      <c r="B10" s="24">
        <v>46181.0</v>
      </c>
      <c r="C10" s="5" t="s">
        <v>18</v>
      </c>
      <c r="D10" s="6" t="s">
        <v>84</v>
      </c>
      <c r="E10" s="7">
        <v>338519.0</v>
      </c>
      <c r="F10" s="5">
        <v>338537.0</v>
      </c>
      <c r="G10" s="6">
        <f t="shared" si="12"/>
        <v>18</v>
      </c>
      <c r="H10" s="17" t="str">
        <f>IFERROR(VLOOKUP(A10, Registo_Diario_Motorista!$A$2:$M$5001, 13, FALSE), "")</f>
        <v/>
      </c>
      <c r="I10" s="18">
        <f>IFERROR(VLOOKUP(H10, Tabela_ConsPort!$D$2:$E$9, 2, FALSE), 0)</f>
        <v>0</v>
      </c>
      <c r="J10" s="19"/>
      <c r="K10" s="12" t="s">
        <v>25</v>
      </c>
      <c r="L10" s="8">
        <v>1060.0</v>
      </c>
      <c r="M10" s="9">
        <f t="shared" si="1"/>
        <v>0.07571428571</v>
      </c>
      <c r="N10" s="6">
        <f t="shared" si="13"/>
        <v>19080</v>
      </c>
      <c r="O10" s="21">
        <f t="shared" si="14"/>
        <v>2171440</v>
      </c>
      <c r="P10" s="9">
        <f t="shared" si="15"/>
        <v>0.04416666667</v>
      </c>
      <c r="Q10" s="6">
        <f>VLOOKUP(L10, Tabela_ConsPort!$A$2:$B$7, 2, TRUE)</f>
        <v>25</v>
      </c>
      <c r="R10" s="22">
        <f t="shared" si="16"/>
        <v>4.5</v>
      </c>
      <c r="S10" s="16">
        <v>1.834</v>
      </c>
      <c r="T10" s="10">
        <f t="shared" si="17"/>
        <v>8.253</v>
      </c>
      <c r="U10" s="22">
        <f t="shared" si="18"/>
        <v>0.45</v>
      </c>
      <c r="V10" s="10">
        <f t="shared" si="19"/>
        <v>0.135</v>
      </c>
      <c r="W10" s="10">
        <f>custo_motorista_e_veiculo!C$11*G10</f>
        <v>4.808358947</v>
      </c>
      <c r="X10" s="10">
        <f>G10*custo_motorista_e_veiculo!L$13</f>
        <v>4.943126316</v>
      </c>
      <c r="Y10" s="5"/>
      <c r="Z10" s="26"/>
      <c r="AA10" s="25"/>
      <c r="AB10" s="10">
        <f t="shared" si="20"/>
        <v>0</v>
      </c>
      <c r="AC10" s="10">
        <f t="shared" si="21"/>
        <v>18.13948526</v>
      </c>
      <c r="AD10" s="10">
        <f t="shared" si="22"/>
        <v>0.01711272195</v>
      </c>
      <c r="AE10" s="10">
        <f t="shared" si="23"/>
        <v>25.26085724</v>
      </c>
      <c r="AF10" s="10"/>
      <c r="AG10" s="10"/>
      <c r="AH10" s="10"/>
      <c r="AI10" s="10"/>
      <c r="AJ10" s="16"/>
      <c r="AK10" s="10"/>
      <c r="AL10" s="23"/>
      <c r="AM10" s="23"/>
    </row>
    <row r="11" hidden="1">
      <c r="A11" s="16" t="s">
        <v>80</v>
      </c>
      <c r="B11" s="24">
        <v>46182.0</v>
      </c>
      <c r="C11" s="5" t="s">
        <v>18</v>
      </c>
      <c r="D11" s="6" t="s">
        <v>85</v>
      </c>
      <c r="E11" s="7">
        <v>338537.0</v>
      </c>
      <c r="F11" s="5">
        <v>338620.0</v>
      </c>
      <c r="G11" s="6">
        <f t="shared" si="12"/>
        <v>83</v>
      </c>
      <c r="H11" s="17" t="str">
        <f>IFERROR(VLOOKUP(A11, Registo_Diario_Motorista!$A$2:$M$5001, 13, FALSE), "")</f>
        <v/>
      </c>
      <c r="I11" s="18">
        <f>IFERROR(VLOOKUP(H11, Tabela_ConsPort!$D$2:$E$9, 2, FALSE), 0)</f>
        <v>0</v>
      </c>
      <c r="J11" s="19"/>
      <c r="K11" s="5" t="s">
        <v>25</v>
      </c>
      <c r="L11" s="8">
        <v>1600.0</v>
      </c>
      <c r="M11" s="9">
        <f t="shared" si="1"/>
        <v>0.1142857143</v>
      </c>
      <c r="N11" s="6">
        <f t="shared" si="13"/>
        <v>132800</v>
      </c>
      <c r="O11" s="21">
        <f t="shared" si="14"/>
        <v>2171440</v>
      </c>
      <c r="P11" s="9">
        <f t="shared" si="15"/>
        <v>0.06666666667</v>
      </c>
      <c r="Q11" s="6">
        <f>VLOOKUP(L11, Tabela_ConsPort!$A$2:$B$7, 2, TRUE)</f>
        <v>25</v>
      </c>
      <c r="R11" s="22">
        <f t="shared" si="16"/>
        <v>20.75</v>
      </c>
      <c r="S11" s="16">
        <v>1.834</v>
      </c>
      <c r="T11" s="10">
        <f t="shared" si="17"/>
        <v>38.0555</v>
      </c>
      <c r="U11" s="22">
        <f t="shared" si="18"/>
        <v>2.075</v>
      </c>
      <c r="V11" s="10">
        <f t="shared" si="19"/>
        <v>0.6225</v>
      </c>
      <c r="W11" s="10">
        <f>custo_motorista_e_veiculo!C$11*G11</f>
        <v>22.17187737</v>
      </c>
      <c r="X11" s="10">
        <f>G11*custo_motorista_e_veiculo!L$13</f>
        <v>22.79330468</v>
      </c>
      <c r="Y11" s="5"/>
      <c r="Z11" s="26"/>
      <c r="AA11" s="25"/>
      <c r="AB11" s="10">
        <f t="shared" si="20"/>
        <v>0</v>
      </c>
      <c r="AC11" s="10">
        <f t="shared" si="21"/>
        <v>83.64318205</v>
      </c>
      <c r="AD11" s="10">
        <f t="shared" si="22"/>
        <v>0.05227698878</v>
      </c>
      <c r="AE11" s="10">
        <f t="shared" si="23"/>
        <v>38.12959583</v>
      </c>
      <c r="AF11" s="10"/>
      <c r="AG11" s="10"/>
      <c r="AH11" s="10"/>
      <c r="AI11" s="10"/>
      <c r="AJ11" s="16"/>
      <c r="AK11" s="10"/>
      <c r="AL11" s="23"/>
      <c r="AM11" s="23"/>
    </row>
    <row r="12" hidden="1">
      <c r="A12" s="16" t="s">
        <v>86</v>
      </c>
      <c r="B12" s="24">
        <v>46182.0</v>
      </c>
      <c r="C12" s="5" t="s">
        <v>22</v>
      </c>
      <c r="D12" s="6" t="s">
        <v>23</v>
      </c>
      <c r="E12" s="7">
        <v>338620.0</v>
      </c>
      <c r="F12" s="5">
        <v>338944.0</v>
      </c>
      <c r="G12" s="6">
        <f t="shared" si="12"/>
        <v>324</v>
      </c>
      <c r="H12" s="17" t="str">
        <f>IFERROR(VLOOKUP(A12, Registo_Diario_Motorista!$A$2:$M$5001, 13, FALSE), "")</f>
        <v/>
      </c>
      <c r="I12" s="18">
        <f>IFERROR(VLOOKUP(H12, Tabela_ConsPort!$D$2:$E$9, 2, FALSE), 0)</f>
        <v>0</v>
      </c>
      <c r="J12" s="19"/>
      <c r="K12" s="5" t="s">
        <v>19</v>
      </c>
      <c r="L12" s="8">
        <v>3500.0</v>
      </c>
      <c r="M12" s="9">
        <f t="shared" si="1"/>
        <v>0.1458333333</v>
      </c>
      <c r="N12" s="6">
        <f t="shared" si="13"/>
        <v>1134000</v>
      </c>
      <c r="O12" s="21">
        <f t="shared" si="14"/>
        <v>1134000</v>
      </c>
      <c r="P12" s="9">
        <f t="shared" si="15"/>
        <v>0.1458333333</v>
      </c>
      <c r="Q12" s="6">
        <f>VLOOKUP(L12, Tabela_ConsPort!$A$2:$B$7, 2, TRUE)</f>
        <v>25</v>
      </c>
      <c r="R12" s="22">
        <f t="shared" si="16"/>
        <v>81</v>
      </c>
      <c r="S12" s="16">
        <v>1.834</v>
      </c>
      <c r="T12" s="10">
        <f t="shared" si="17"/>
        <v>148.554</v>
      </c>
      <c r="U12" s="22">
        <f t="shared" si="18"/>
        <v>8.1</v>
      </c>
      <c r="V12" s="10">
        <f t="shared" si="19"/>
        <v>2.43</v>
      </c>
      <c r="W12" s="10">
        <f>custo_motorista_e_veiculo!C$11*G12</f>
        <v>86.55046105</v>
      </c>
      <c r="X12" s="10">
        <f>G12*custo_motorista_e_veiculo!L$13</f>
        <v>88.97627368</v>
      </c>
      <c r="Y12" s="5"/>
      <c r="Z12" s="26"/>
      <c r="AA12" s="25"/>
      <c r="AB12" s="10">
        <f t="shared" si="20"/>
        <v>0</v>
      </c>
      <c r="AC12" s="10">
        <f t="shared" si="21"/>
        <v>326.5107347</v>
      </c>
      <c r="AD12" s="10">
        <f t="shared" si="22"/>
        <v>0.09328878135</v>
      </c>
      <c r="AE12" s="10">
        <f t="shared" si="23"/>
        <v>47.61614882</v>
      </c>
      <c r="AF12" s="10">
        <f>SUMIFS(AC:AC,A:A,A12)+SUMIFS(Y:Y,A:A,A12)+SUMIFS(Z:Z,A:A,A12)+SUMIFS(AB:AB,A:A,A12)+SUMIFS(I:I,A:A,A12)</f>
        <v>326.5107347</v>
      </c>
      <c r="AG12" s="10"/>
      <c r="AH12" s="10"/>
      <c r="AI12" s="10"/>
      <c r="AJ12" s="16"/>
      <c r="AK12" s="10"/>
      <c r="AL12" s="23"/>
      <c r="AM12" s="23"/>
    </row>
    <row r="13" hidden="1">
      <c r="A13" s="16"/>
      <c r="B13" s="27"/>
      <c r="C13" s="25"/>
      <c r="D13" s="28"/>
      <c r="E13" s="29"/>
      <c r="F13" s="26"/>
      <c r="G13" s="27"/>
      <c r="H13" s="17" t="str">
        <f>IFERROR(VLOOKUP(A13, Registo_Diario_Motorista!$A$2:$M$5001, 13, FALSE), "")</f>
        <v/>
      </c>
      <c r="I13" s="18"/>
      <c r="J13" s="19"/>
      <c r="K13" s="5"/>
      <c r="L13" s="30"/>
      <c r="M13" s="9"/>
      <c r="N13" s="6"/>
      <c r="O13" s="21"/>
      <c r="P13" s="9"/>
      <c r="Q13" s="28"/>
      <c r="R13" s="22"/>
      <c r="S13" s="16"/>
      <c r="T13" s="10"/>
      <c r="U13" s="22"/>
      <c r="V13" s="10"/>
      <c r="W13" s="10"/>
      <c r="X13" s="10"/>
      <c r="Y13" s="5"/>
      <c r="Z13" s="26"/>
      <c r="AA13" s="25"/>
      <c r="AB13" s="10"/>
      <c r="AC13" s="10"/>
      <c r="AD13" s="10"/>
      <c r="AE13" s="10"/>
      <c r="AF13" s="10"/>
      <c r="AG13" s="10"/>
      <c r="AH13" s="10"/>
      <c r="AI13" s="10"/>
      <c r="AJ13" s="16"/>
      <c r="AK13" s="10"/>
      <c r="AL13" s="23"/>
      <c r="AM13" s="23"/>
    </row>
    <row r="14" hidden="1">
      <c r="A14" s="16" t="s">
        <v>87</v>
      </c>
      <c r="B14" s="6" t="s">
        <v>88</v>
      </c>
      <c r="C14" s="5" t="s">
        <v>18</v>
      </c>
      <c r="D14" s="6" t="s">
        <v>89</v>
      </c>
      <c r="E14" s="7">
        <v>341033.0</v>
      </c>
      <c r="F14" s="5">
        <v>341349.0</v>
      </c>
      <c r="G14" s="6">
        <f t="shared" ref="G14:G17" si="24">F14-E14</f>
        <v>316</v>
      </c>
      <c r="H14" s="17" t="str">
        <f>IFERROR(VLOOKUP(A14, Registo_Diario_Motorista!$A$2:$M$5001, 13, FALSE), "")</f>
        <v/>
      </c>
      <c r="I14" s="18">
        <f>IFERROR(VLOOKUP(H14, Tabela_ConsPort!$D$2:$E$9, 2, FALSE), 0)</f>
        <v>0</v>
      </c>
      <c r="J14" s="19"/>
      <c r="K14" s="5" t="s">
        <v>25</v>
      </c>
      <c r="L14" s="8">
        <v>720.0</v>
      </c>
      <c r="M14" s="9">
        <f t="shared" ref="M14:M22" si="25">IF(K14="LEVE","Volume",L14/IF(K14="CAMIAO+REBOQUE",24000,14000))</f>
        <v>0.05142857143</v>
      </c>
      <c r="N14" s="6">
        <f t="shared" ref="N14:N17" si="26">L14*G14</f>
        <v>227520</v>
      </c>
      <c r="O14" s="21">
        <f t="shared" ref="O14:O17" si="27">SUMIF(A:A,A14,N:N)</f>
        <v>1308402</v>
      </c>
      <c r="P14" s="9">
        <f t="shared" ref="P14:P17" si="28">IF(OR(L14=0, I14="VAZIO", I14="RETORNO"), 1, If(I14="CAMIAO", IF(L14/14000 &gt;= 1, 1, L14/14000), IF(L14/24000 &gt;= 1, 1, L14/24000)))</f>
        <v>0.03</v>
      </c>
      <c r="Q14" s="6">
        <f>VLOOKUP(L14, Tabela_ConsPort!$A$2:$B$7, 2, TRUE)</f>
        <v>25</v>
      </c>
      <c r="R14" s="22">
        <f t="shared" ref="R14:R17" si="29">Q14/100*G14</f>
        <v>79</v>
      </c>
      <c r="S14" s="16">
        <v>1.834</v>
      </c>
      <c r="T14" s="10">
        <f t="shared" ref="T14:T17" si="30">R14*S14</f>
        <v>144.886</v>
      </c>
      <c r="U14" s="22">
        <f t="shared" ref="U14:U17" si="31">(G14*2.5)/100</f>
        <v>7.9</v>
      </c>
      <c r="V14" s="10">
        <f t="shared" ref="V14:V17" si="32">U14*0.3</f>
        <v>2.37</v>
      </c>
      <c r="W14" s="10">
        <f>custo_motorista_e_veiculo!C$11*G14</f>
        <v>84.41341263</v>
      </c>
      <c r="X14" s="10">
        <f>G14*custo_motorista_e_veiculo!L$13</f>
        <v>86.77932865</v>
      </c>
      <c r="Y14" s="5">
        <v>70.0</v>
      </c>
      <c r="Z14" s="26"/>
      <c r="AA14" s="25"/>
      <c r="AB14" s="10">
        <f t="shared" ref="AB14:AB17" si="33">AA14*8</f>
        <v>0</v>
      </c>
      <c r="AC14" s="10">
        <f t="shared" ref="AC14:AC22" si="34">J14+T14+W14+X14+V14</f>
        <v>318.4487413</v>
      </c>
      <c r="AD14" s="10">
        <f t="shared" ref="AD14:AD15" si="35">IFERROR(AC14/L14, 0)</f>
        <v>0.4422899185</v>
      </c>
      <c r="AE14" s="10">
        <f t="shared" ref="AE14:AE17" si="36">P14*SUMIF(A:A,A14,AF:AF)</f>
        <v>14.80988671</v>
      </c>
      <c r="AF14" s="10">
        <f>SUMIFS(AC:AC,A:A,A14)+SUMIFS(Y:Y,A:A,A14)+SUMIFS(Z:Z,A:A,A14)+SUMIFS(AB:AB,A:A,A14)+SUMIFS(I:I,A:A,A14)</f>
        <v>493.6628902</v>
      </c>
      <c r="AG14" s="10">
        <f>SUMIFS(AC:AC, A:A, A14) * 1.25</f>
        <v>529.5786128</v>
      </c>
      <c r="AH14" s="10">
        <f t="shared" ref="AH14:AH22" si="37">SUMIFS(AJ:AJ,A:A,A14)</f>
        <v>700</v>
      </c>
      <c r="AI14" s="10">
        <f t="shared" ref="AI14:AI17" si="38">SUMIF(A:A, A14, AH:AH) - SUMIF(A:A, A14, AF:AF)</f>
        <v>906.3371098</v>
      </c>
      <c r="AJ14" s="31">
        <v>700.0</v>
      </c>
      <c r="AK14" s="10" t="str">
        <f>IF(AI14&lt;0, "🔴 PREJUÍZO", "🟢 OK")</f>
        <v>🟢 OK</v>
      </c>
      <c r="AL14" s="23"/>
      <c r="AM14" s="23"/>
    </row>
    <row r="15" hidden="1">
      <c r="A15" s="16" t="s">
        <v>87</v>
      </c>
      <c r="B15" s="6" t="s">
        <v>88</v>
      </c>
      <c r="C15" s="5" t="s">
        <v>18</v>
      </c>
      <c r="D15" s="6" t="s">
        <v>90</v>
      </c>
      <c r="E15" s="7">
        <v>341349.0</v>
      </c>
      <c r="F15" s="5">
        <v>341448.0</v>
      </c>
      <c r="G15" s="6">
        <f t="shared" si="24"/>
        <v>99</v>
      </c>
      <c r="H15" s="17" t="str">
        <f>IFERROR(VLOOKUP(A15, Registo_Diario_Motorista!$A$2:$M$5001, 13, FALSE), "")</f>
        <v/>
      </c>
      <c r="I15" s="18">
        <f>IFERROR(VLOOKUP(H15, Tabela_ConsPort!$D$2:$E$9, 2, FALSE), 0)</f>
        <v>0</v>
      </c>
      <c r="J15" s="19"/>
      <c r="K15" s="5" t="s">
        <v>25</v>
      </c>
      <c r="L15" s="8">
        <v>10918.0</v>
      </c>
      <c r="M15" s="9">
        <f t="shared" si="25"/>
        <v>0.7798571429</v>
      </c>
      <c r="N15" s="6">
        <f t="shared" si="26"/>
        <v>1080882</v>
      </c>
      <c r="O15" s="21">
        <f t="shared" si="27"/>
        <v>1308402</v>
      </c>
      <c r="P15" s="9">
        <f t="shared" si="28"/>
        <v>0.4549166667</v>
      </c>
      <c r="Q15" s="6">
        <f>VLOOKUP(L15, Tabela_ConsPort!$A$2:$B$7, 2, TRUE)</f>
        <v>28</v>
      </c>
      <c r="R15" s="22">
        <f t="shared" si="29"/>
        <v>27.72</v>
      </c>
      <c r="S15" s="16">
        <v>1.834</v>
      </c>
      <c r="T15" s="10">
        <f t="shared" si="30"/>
        <v>50.83848</v>
      </c>
      <c r="U15" s="22">
        <f t="shared" si="31"/>
        <v>2.475</v>
      </c>
      <c r="V15" s="10">
        <f t="shared" si="32"/>
        <v>0.7425</v>
      </c>
      <c r="W15" s="10">
        <f>custo_motorista_e_veiculo!C$11*G15</f>
        <v>26.44597421</v>
      </c>
      <c r="X15" s="10">
        <f>G15*custo_motorista_e_veiculo!L$13</f>
        <v>27.18719474</v>
      </c>
      <c r="Y15" s="5"/>
      <c r="Z15" s="26"/>
      <c r="AA15" s="25"/>
      <c r="AB15" s="10">
        <f t="shared" si="33"/>
        <v>0</v>
      </c>
      <c r="AC15" s="10">
        <f t="shared" si="34"/>
        <v>105.2141489</v>
      </c>
      <c r="AD15" s="10">
        <f t="shared" si="35"/>
        <v>0.009636760299</v>
      </c>
      <c r="AE15" s="10">
        <f t="shared" si="36"/>
        <v>224.5754765</v>
      </c>
      <c r="AF15" s="10"/>
      <c r="AG15" s="10"/>
      <c r="AH15" s="10">
        <f t="shared" si="37"/>
        <v>700</v>
      </c>
      <c r="AI15" s="10">
        <f t="shared" si="38"/>
        <v>906.3371098</v>
      </c>
      <c r="AJ15" s="16"/>
      <c r="AK15" s="10"/>
      <c r="AL15" s="23"/>
      <c r="AM15" s="23"/>
    </row>
    <row r="16" hidden="1">
      <c r="A16" s="16" t="s">
        <v>91</v>
      </c>
      <c r="B16" s="6" t="s">
        <v>88</v>
      </c>
      <c r="C16" s="5" t="s">
        <v>22</v>
      </c>
      <c r="D16" s="6" t="s">
        <v>92</v>
      </c>
      <c r="E16" s="7">
        <v>341448.0</v>
      </c>
      <c r="F16" s="5">
        <v>341466.0</v>
      </c>
      <c r="G16" s="6">
        <f t="shared" si="24"/>
        <v>18</v>
      </c>
      <c r="H16" s="17" t="str">
        <f>IFERROR(VLOOKUP(A16, Registo_Diario_Motorista!$A$2:$M$5001, 13, FALSE), "")</f>
        <v/>
      </c>
      <c r="I16" s="18">
        <f>IFERROR(VLOOKUP(H16, Tabela_ConsPort!$D$2:$E$9, 2, FALSE), 0)</f>
        <v>0</v>
      </c>
      <c r="J16" s="19"/>
      <c r="K16" s="12" t="s">
        <v>79</v>
      </c>
      <c r="L16" s="8">
        <v>0.0</v>
      </c>
      <c r="M16" s="9">
        <f t="shared" si="25"/>
        <v>0</v>
      </c>
      <c r="N16" s="6">
        <f t="shared" si="26"/>
        <v>0</v>
      </c>
      <c r="O16" s="21">
        <f t="shared" si="27"/>
        <v>9900240</v>
      </c>
      <c r="P16" s="9">
        <f t="shared" si="28"/>
        <v>1</v>
      </c>
      <c r="Q16" s="6">
        <f>VLOOKUP(L16, Tabela_ConsPort!$A$2:$B$7, 2, TRUE)</f>
        <v>25</v>
      </c>
      <c r="R16" s="22">
        <f t="shared" si="29"/>
        <v>4.5</v>
      </c>
      <c r="S16" s="16">
        <v>1.834</v>
      </c>
      <c r="T16" s="10">
        <f t="shared" si="30"/>
        <v>8.253</v>
      </c>
      <c r="U16" s="22">
        <f t="shared" si="31"/>
        <v>0.45</v>
      </c>
      <c r="V16" s="10">
        <f t="shared" si="32"/>
        <v>0.135</v>
      </c>
      <c r="W16" s="10">
        <f>custo_motorista_e_veiculo!C$11*G16</f>
        <v>4.808358947</v>
      </c>
      <c r="X16" s="10">
        <f>G16*custo_motorista_e_veiculo!L$13</f>
        <v>4.943126316</v>
      </c>
      <c r="Y16" s="5"/>
      <c r="Z16" s="26"/>
      <c r="AA16" s="25"/>
      <c r="AB16" s="10">
        <f t="shared" si="33"/>
        <v>0</v>
      </c>
      <c r="AC16" s="10">
        <f t="shared" si="34"/>
        <v>18.13948526</v>
      </c>
      <c r="AD16" s="10">
        <f t="shared" ref="AD16:AD17" si="39">IFERROR(AC16/L17, 0)</f>
        <v>0.0007805286258</v>
      </c>
      <c r="AE16" s="10">
        <f t="shared" si="36"/>
        <v>537.5690365</v>
      </c>
      <c r="AF16" s="10">
        <f>SUMIFS(AC:AC,A:A,A16)+SUMIFS(Y:Y,A:A,A16)+SUMIFS(Z:Z,A:A,A16)+SUMIFS(AB:AB,A:A,A16)+SUMIFS(I:I,A:A,A16)</f>
        <v>537.5690365</v>
      </c>
      <c r="AG16" s="10">
        <f>SUMIFS(AC:AC, A:A, A16) * 1.25</f>
        <v>656.9612956</v>
      </c>
      <c r="AH16" s="10">
        <f t="shared" si="37"/>
        <v>700</v>
      </c>
      <c r="AI16" s="10">
        <f t="shared" si="38"/>
        <v>862.4309635</v>
      </c>
      <c r="AJ16" s="16">
        <v>700.0</v>
      </c>
      <c r="AK16" s="10" t="str">
        <f>IF(AI16&lt;0, "🔴 PREJUÍZO", "🟢 OK")</f>
        <v>🟢 OK</v>
      </c>
      <c r="AL16" s="23"/>
      <c r="AM16" s="23"/>
    </row>
    <row r="17" hidden="1">
      <c r="A17" s="16" t="s">
        <v>91</v>
      </c>
      <c r="B17" s="6" t="s">
        <v>88</v>
      </c>
      <c r="C17" s="5" t="s">
        <v>22</v>
      </c>
      <c r="D17" s="6" t="s">
        <v>23</v>
      </c>
      <c r="E17" s="7">
        <v>341466.0</v>
      </c>
      <c r="F17" s="5">
        <v>341892.0</v>
      </c>
      <c r="G17" s="6">
        <f t="shared" si="24"/>
        <v>426</v>
      </c>
      <c r="H17" s="17" t="str">
        <f>IFERROR(VLOOKUP(A17, Registo_Diario_Motorista!$A$2:$M$5001, 13, FALSE), "")</f>
        <v/>
      </c>
      <c r="I17" s="18">
        <f>IFERROR(VLOOKUP(H17, Tabela_ConsPort!$D$2:$E$9, 2, FALSE), 0)</f>
        <v>0</v>
      </c>
      <c r="J17" s="19"/>
      <c r="K17" s="5" t="s">
        <v>19</v>
      </c>
      <c r="L17" s="8">
        <v>23240.0</v>
      </c>
      <c r="M17" s="9">
        <f t="shared" si="25"/>
        <v>0.9683333333</v>
      </c>
      <c r="N17" s="6">
        <f t="shared" si="26"/>
        <v>9900240</v>
      </c>
      <c r="O17" s="21">
        <f t="shared" si="27"/>
        <v>9900240</v>
      </c>
      <c r="P17" s="9">
        <f t="shared" si="28"/>
        <v>0.9683333333</v>
      </c>
      <c r="Q17" s="6">
        <f>VLOOKUP(L17, Tabela_ConsPort!$A$2:$B$7, 2, TRUE)</f>
        <v>35</v>
      </c>
      <c r="R17" s="22">
        <f t="shared" si="29"/>
        <v>149.1</v>
      </c>
      <c r="S17" s="16">
        <v>1.834</v>
      </c>
      <c r="T17" s="10">
        <f t="shared" si="30"/>
        <v>273.4494</v>
      </c>
      <c r="U17" s="22">
        <f t="shared" si="31"/>
        <v>10.65</v>
      </c>
      <c r="V17" s="10">
        <f t="shared" si="32"/>
        <v>3.195</v>
      </c>
      <c r="W17" s="10">
        <f>custo_motorista_e_veiculo!C$11*G17</f>
        <v>113.7978284</v>
      </c>
      <c r="X17" s="10">
        <f>G17*custo_motorista_e_veiculo!L$13</f>
        <v>116.9873228</v>
      </c>
      <c r="Y17" s="5"/>
      <c r="Z17" s="26"/>
      <c r="AA17" s="5">
        <v>1.5</v>
      </c>
      <c r="AB17" s="10">
        <f t="shared" si="33"/>
        <v>12</v>
      </c>
      <c r="AC17" s="10">
        <f t="shared" si="34"/>
        <v>507.4295512</v>
      </c>
      <c r="AD17" s="10">
        <f t="shared" si="39"/>
        <v>0</v>
      </c>
      <c r="AE17" s="10">
        <f t="shared" si="36"/>
        <v>520.546017</v>
      </c>
      <c r="AF17" s="10"/>
      <c r="AG17" s="10"/>
      <c r="AH17" s="10">
        <f t="shared" si="37"/>
        <v>700</v>
      </c>
      <c r="AI17" s="10">
        <f t="shared" si="38"/>
        <v>862.4309635</v>
      </c>
      <c r="AJ17" s="16"/>
      <c r="AK17" s="10"/>
      <c r="AL17" s="23"/>
      <c r="AM17" s="23"/>
    </row>
    <row r="18" hidden="1">
      <c r="A18" s="16"/>
      <c r="B18" s="27"/>
      <c r="C18" s="25"/>
      <c r="D18" s="6"/>
      <c r="E18" s="7"/>
      <c r="F18" s="5"/>
      <c r="G18" s="6"/>
      <c r="H18" s="17" t="str">
        <f>IFERROR(VLOOKUP(A18, Registo_Diario_Motorista!$A$2:$M$5001, 13, FALSE), "")</f>
        <v/>
      </c>
      <c r="I18" s="18">
        <f>IFERROR(VLOOKUP(H18, Tabela_ConsPort!$D$2:$E$9, 2, FALSE), 0)</f>
        <v>0</v>
      </c>
      <c r="J18" s="19"/>
      <c r="K18" s="5"/>
      <c r="L18" s="8"/>
      <c r="M18" s="9">
        <f t="shared" si="25"/>
        <v>0</v>
      </c>
      <c r="N18" s="6"/>
      <c r="O18" s="21"/>
      <c r="P18" s="9"/>
      <c r="Q18" s="28"/>
      <c r="R18" s="22"/>
      <c r="S18" s="16"/>
      <c r="T18" s="10"/>
      <c r="U18" s="22"/>
      <c r="V18" s="10"/>
      <c r="W18" s="10"/>
      <c r="X18" s="10"/>
      <c r="Y18" s="5"/>
      <c r="Z18" s="26"/>
      <c r="AA18" s="25"/>
      <c r="AB18" s="10"/>
      <c r="AC18" s="10">
        <f t="shared" si="34"/>
        <v>0</v>
      </c>
      <c r="AD18" s="10"/>
      <c r="AE18" s="10"/>
      <c r="AF18" s="10">
        <f t="shared" ref="AF18:AF19" si="40">SUMIFS(AC:AC,A:A,A18)+SUMIFS(Y:Y,A:A,A18)+SUMIFS(Z:Z,A:A,A18)+SUMIFS(AB:AB,A:A,A18)+SUMIFS(I:I,A:A,A18)</f>
        <v>0</v>
      </c>
      <c r="AG18" s="10"/>
      <c r="AH18" s="10">
        <f t="shared" si="37"/>
        <v>0</v>
      </c>
      <c r="AI18" s="10"/>
      <c r="AJ18" s="16"/>
      <c r="AK18" s="10"/>
      <c r="AL18" s="23"/>
      <c r="AM18" s="23"/>
    </row>
    <row r="19" hidden="1">
      <c r="A19" s="16" t="s">
        <v>93</v>
      </c>
      <c r="B19" s="6" t="s">
        <v>94</v>
      </c>
      <c r="C19" s="5" t="s">
        <v>18</v>
      </c>
      <c r="D19" s="6" t="s">
        <v>95</v>
      </c>
      <c r="E19" s="7">
        <v>341892.0</v>
      </c>
      <c r="F19" s="5">
        <v>342337.0</v>
      </c>
      <c r="G19" s="6">
        <f t="shared" ref="G19:G22" si="41">F19-E19</f>
        <v>445</v>
      </c>
      <c r="H19" s="17" t="str">
        <f>IFERROR(VLOOKUP(A19, Registo_Diario_Motorista!$A$2:$M$5001, 13, FALSE), "")</f>
        <v/>
      </c>
      <c r="I19" s="18">
        <f>IFERROR(VLOOKUP(H19, Tabela_ConsPort!$D$2:$E$9, 2, FALSE), 0)</f>
        <v>0</v>
      </c>
      <c r="J19" s="19"/>
      <c r="K19" s="12" t="s">
        <v>19</v>
      </c>
      <c r="L19" s="8">
        <f>1120*14</f>
        <v>15680</v>
      </c>
      <c r="M19" s="9">
        <f t="shared" si="25"/>
        <v>0.6533333333</v>
      </c>
      <c r="N19" s="6">
        <f t="shared" ref="N19:N22" si="42">L19*G19</f>
        <v>6977600</v>
      </c>
      <c r="O19" s="21">
        <f t="shared" ref="O19:O22" si="43">SUMIF(A:A,A19,N:N)</f>
        <v>9947840</v>
      </c>
      <c r="P19" s="9">
        <f t="shared" ref="P19:P22" si="44">IF(OR(L19=0, I19="VAZIO", I19="RETORNO"), 1, If(I19="CAMIAO", IF(L19/14000 &gt;= 1, 1, L19/14000), IF(L19/24000 &gt;= 1, 1, L19/24000)))</f>
        <v>0.6533333333</v>
      </c>
      <c r="Q19" s="6">
        <f>VLOOKUP(L19, Tabela_ConsPort!$A$2:$B$7, 2, TRUE)</f>
        <v>31</v>
      </c>
      <c r="R19" s="22">
        <f t="shared" ref="R19:R22" si="45">Q19/100*G19</f>
        <v>137.95</v>
      </c>
      <c r="S19" s="16">
        <v>1.834</v>
      </c>
      <c r="T19" s="10">
        <f t="shared" ref="T19:T22" si="46">R19*S19</f>
        <v>253.0003</v>
      </c>
      <c r="U19" s="22">
        <f t="shared" ref="U19:U22" si="47">(G19*2.5)/100</f>
        <v>11.125</v>
      </c>
      <c r="V19" s="10">
        <f t="shared" ref="V19:V22" si="48">U19*0.3</f>
        <v>3.3375</v>
      </c>
      <c r="W19" s="10">
        <f>custo_motorista_e_veiculo!C$11*G19</f>
        <v>118.8733184</v>
      </c>
      <c r="X19" s="10">
        <f>G19*custo_motorista_e_veiculo!L$13</f>
        <v>122.2050673</v>
      </c>
      <c r="Y19" s="5">
        <v>70.0</v>
      </c>
      <c r="Z19" s="5">
        <v>17.0</v>
      </c>
      <c r="AA19" s="25"/>
      <c r="AB19" s="10">
        <f t="shared" ref="AB19:AB22" si="49">AA19*8</f>
        <v>0</v>
      </c>
      <c r="AC19" s="10">
        <f t="shared" si="34"/>
        <v>497.4161857</v>
      </c>
      <c r="AD19" s="10">
        <f t="shared" ref="AD19:AD22" si="50">IFERROR(AC19/L19, 0)</f>
        <v>0.03172297103</v>
      </c>
      <c r="AE19" s="10">
        <f t="shared" ref="AE19:AE21" si="51">P19*SUMIF(A:A,A19,AF:AF)</f>
        <v>535.2682742</v>
      </c>
      <c r="AF19" s="10">
        <f t="shared" si="40"/>
        <v>819.2881747</v>
      </c>
      <c r="AG19" s="10">
        <f>SUMIFS(AC:AC, A:A, A19) * 1.25</f>
        <v>915.3602184</v>
      </c>
      <c r="AH19" s="10">
        <f t="shared" si="37"/>
        <v>785</v>
      </c>
      <c r="AI19" s="10">
        <f>SUMIF(A:A, A19, AH:AH) - SUMIF(A:A, A19, AF:AF)</f>
        <v>750.7118253</v>
      </c>
      <c r="AJ19" s="16">
        <v>785.0</v>
      </c>
      <c r="AK19" s="10" t="str">
        <f>IF(AI19&lt;0, "🔴 PREJUÍZO", "🟢 OK")</f>
        <v>🟢 OK</v>
      </c>
      <c r="AL19" s="23"/>
      <c r="AM19" s="23"/>
    </row>
    <row r="20" hidden="1">
      <c r="A20" s="16" t="s">
        <v>93</v>
      </c>
      <c r="B20" s="6" t="s">
        <v>94</v>
      </c>
      <c r="C20" s="5" t="s">
        <v>18</v>
      </c>
      <c r="D20" s="6" t="s">
        <v>96</v>
      </c>
      <c r="E20" s="7">
        <v>342337.0</v>
      </c>
      <c r="F20" s="5">
        <v>342558.0</v>
      </c>
      <c r="G20" s="6">
        <f t="shared" si="41"/>
        <v>221</v>
      </c>
      <c r="H20" s="17" t="str">
        <f>IFERROR(VLOOKUP(A20, Registo_Diario_Motorista!$A$2:$M$5001, 13, FALSE), "")</f>
        <v/>
      </c>
      <c r="I20" s="18">
        <f>IFERROR(VLOOKUP(H20, Tabela_ConsPort!$D$2:$E$9, 2, FALSE), 0)</f>
        <v>0</v>
      </c>
      <c r="J20" s="19"/>
      <c r="K20" s="12" t="s">
        <v>25</v>
      </c>
      <c r="L20" s="8">
        <f>1120*12</f>
        <v>13440</v>
      </c>
      <c r="M20" s="9">
        <f t="shared" si="25"/>
        <v>0.96</v>
      </c>
      <c r="N20" s="6">
        <f t="shared" si="42"/>
        <v>2970240</v>
      </c>
      <c r="O20" s="21">
        <f t="shared" si="43"/>
        <v>9947840</v>
      </c>
      <c r="P20" s="9">
        <f t="shared" si="44"/>
        <v>0.56</v>
      </c>
      <c r="Q20" s="6">
        <f>VLOOKUP(L20, Tabela_ConsPort!$A$2:$B$7, 2, TRUE)</f>
        <v>28</v>
      </c>
      <c r="R20" s="22">
        <f t="shared" si="45"/>
        <v>61.88</v>
      </c>
      <c r="S20" s="16">
        <v>1.834</v>
      </c>
      <c r="T20" s="10">
        <f t="shared" si="46"/>
        <v>113.48792</v>
      </c>
      <c r="U20" s="22">
        <f t="shared" si="47"/>
        <v>5.525</v>
      </c>
      <c r="V20" s="10">
        <f t="shared" si="48"/>
        <v>1.6575</v>
      </c>
      <c r="W20" s="10">
        <f>custo_motorista_e_veiculo!C$11*G20</f>
        <v>59.03596263</v>
      </c>
      <c r="X20" s="10">
        <f>G20*custo_motorista_e_veiculo!L$13</f>
        <v>60.69060643</v>
      </c>
      <c r="Y20" s="5"/>
      <c r="Z20" s="26"/>
      <c r="AA20" s="25"/>
      <c r="AB20" s="10">
        <f t="shared" si="49"/>
        <v>0</v>
      </c>
      <c r="AC20" s="10">
        <f t="shared" si="34"/>
        <v>234.8719891</v>
      </c>
      <c r="AD20" s="10">
        <f t="shared" si="50"/>
        <v>0.01747559442</v>
      </c>
      <c r="AE20" s="10">
        <f t="shared" si="51"/>
        <v>458.8013779</v>
      </c>
      <c r="AF20" s="10"/>
      <c r="AG20" s="10"/>
      <c r="AH20" s="10">
        <f t="shared" si="37"/>
        <v>785</v>
      </c>
      <c r="AI20" s="10"/>
      <c r="AJ20" s="16"/>
      <c r="AK20" s="10"/>
      <c r="AL20" s="23"/>
      <c r="AM20" s="23"/>
    </row>
    <row r="21" hidden="1">
      <c r="A21" s="16" t="s">
        <v>97</v>
      </c>
      <c r="B21" s="32">
        <v>21.0</v>
      </c>
      <c r="C21" s="5" t="s">
        <v>22</v>
      </c>
      <c r="D21" s="6" t="s">
        <v>98</v>
      </c>
      <c r="E21" s="7">
        <v>342558.0</v>
      </c>
      <c r="F21" s="33">
        <v>342713.0</v>
      </c>
      <c r="G21" s="6">
        <f t="shared" si="41"/>
        <v>155</v>
      </c>
      <c r="H21" s="17" t="str">
        <f>IFERROR(VLOOKUP(A21, Registo_Diario_Motorista!$A$2:$M$5001, 13, FALSE), "")</f>
        <v/>
      </c>
      <c r="I21" s="18">
        <f>IFERROR(VLOOKUP(H21, Tabela_ConsPort!$D$2:$E$9, 2, FALSE), 0)</f>
        <v>0</v>
      </c>
      <c r="J21" s="19"/>
      <c r="K21" s="12" t="s">
        <v>79</v>
      </c>
      <c r="L21" s="34">
        <v>0.0</v>
      </c>
      <c r="M21" s="9">
        <f t="shared" si="25"/>
        <v>0</v>
      </c>
      <c r="N21" s="6">
        <f t="shared" si="42"/>
        <v>0</v>
      </c>
      <c r="O21" s="21">
        <f t="shared" si="43"/>
        <v>4052340</v>
      </c>
      <c r="P21" s="9">
        <f t="shared" si="44"/>
        <v>1</v>
      </c>
      <c r="Q21" s="6">
        <f>VLOOKUP(L21, Tabela_ConsPort!$A$2:$B$7, 2, TRUE)</f>
        <v>25</v>
      </c>
      <c r="R21" s="22">
        <f t="shared" si="45"/>
        <v>38.75</v>
      </c>
      <c r="S21" s="16">
        <v>1.834</v>
      </c>
      <c r="T21" s="10">
        <f t="shared" si="46"/>
        <v>71.0675</v>
      </c>
      <c r="U21" s="22">
        <f t="shared" si="47"/>
        <v>3.875</v>
      </c>
      <c r="V21" s="10">
        <f t="shared" si="48"/>
        <v>1.1625</v>
      </c>
      <c r="W21" s="10">
        <f>custo_motorista_e_veiculo!C$11*G21</f>
        <v>41.40531316</v>
      </c>
      <c r="X21" s="10">
        <f>G21*custo_motorista_e_veiculo!L$13</f>
        <v>42.56580994</v>
      </c>
      <c r="Y21" s="5"/>
      <c r="Z21" s="5">
        <v>18.7</v>
      </c>
      <c r="AA21" s="25"/>
      <c r="AB21" s="10">
        <f t="shared" si="49"/>
        <v>0</v>
      </c>
      <c r="AC21" s="10">
        <f t="shared" si="34"/>
        <v>156.2011231</v>
      </c>
      <c r="AD21" s="10">
        <f t="shared" si="50"/>
        <v>0</v>
      </c>
      <c r="AE21" s="10">
        <f t="shared" si="51"/>
        <v>697.1339809</v>
      </c>
      <c r="AF21" s="10">
        <f>SUMIFS(AC:AC,A:A,A21)+SUMIFS(Y:Y,A:A,A21)+SUMIFS(Z:Z,A:A,A21)+SUMIFS(AB:AB,A:A,A21)+SUMIFS(I:I,A:A,A21)</f>
        <v>697.1339809</v>
      </c>
      <c r="AG21" s="10">
        <f>SUMIFS(AC:AC, A:A, A21) * 1.25</f>
        <v>798.0424762</v>
      </c>
      <c r="AH21" s="10">
        <f t="shared" si="37"/>
        <v>905</v>
      </c>
      <c r="AI21" s="10">
        <f>SUMIF(A:A, A21, AH:AH) - SUMIF(A:A, A21, AF:AF)</f>
        <v>1112.866019</v>
      </c>
      <c r="AJ21" s="31">
        <v>905.0</v>
      </c>
      <c r="AK21" s="10" t="str">
        <f>IF(AI21&lt;0, "🔴 PREJUÍZO", "🟢 OK")</f>
        <v>🟢 OK</v>
      </c>
      <c r="AL21" s="23"/>
      <c r="AM21" s="23"/>
    </row>
    <row r="22" ht="15.75" hidden="1" customHeight="1">
      <c r="A22" s="5" t="s">
        <v>97</v>
      </c>
      <c r="B22" s="2">
        <v>21.0</v>
      </c>
      <c r="C22" s="5" t="s">
        <v>22</v>
      </c>
      <c r="D22" s="35" t="s">
        <v>99</v>
      </c>
      <c r="E22" s="36">
        <v>342713.0</v>
      </c>
      <c r="F22" s="33">
        <v>343192.0</v>
      </c>
      <c r="G22" s="6">
        <f t="shared" si="41"/>
        <v>479</v>
      </c>
      <c r="H22" s="17" t="str">
        <f>IFERROR(VLOOKUP(A22, Registo_Diario_Motorista!$A$2:$M$5001, 13, FALSE), "")</f>
        <v/>
      </c>
      <c r="I22" s="18">
        <f>IFERROR(VLOOKUP(H22, Tabela_ConsPort!$D$2:$E$9, 2, FALSE), 0)</f>
        <v>0</v>
      </c>
      <c r="J22" s="19"/>
      <c r="K22" s="12" t="s">
        <v>19</v>
      </c>
      <c r="L22" s="34">
        <v>8460.0</v>
      </c>
      <c r="M22" s="9">
        <f t="shared" si="25"/>
        <v>0.3525</v>
      </c>
      <c r="N22" s="6">
        <f t="shared" si="42"/>
        <v>4052340</v>
      </c>
      <c r="O22" s="21">
        <f t="shared" si="43"/>
        <v>4052340</v>
      </c>
      <c r="P22" s="9">
        <f t="shared" si="44"/>
        <v>0.3525</v>
      </c>
      <c r="Q22" s="6">
        <f>VLOOKUP(L22, Tabela_ConsPort!$A$2:$B$7, 2, TRUE)</f>
        <v>25</v>
      </c>
      <c r="R22" s="22">
        <f t="shared" si="45"/>
        <v>119.75</v>
      </c>
      <c r="S22" s="31">
        <v>1.83</v>
      </c>
      <c r="T22" s="10">
        <f t="shared" si="46"/>
        <v>219.1425</v>
      </c>
      <c r="U22" s="22">
        <f t="shared" si="47"/>
        <v>11.975</v>
      </c>
      <c r="V22" s="10">
        <f t="shared" si="48"/>
        <v>3.5925</v>
      </c>
      <c r="W22" s="10">
        <f>custo_motorista_e_veiculo!C$11*G22</f>
        <v>127.9557742</v>
      </c>
      <c r="X22" s="10">
        <f>G22*custo_motorista_e_veiculo!L$13</f>
        <v>131.5420836</v>
      </c>
      <c r="Y22" s="26"/>
      <c r="Z22" s="26"/>
      <c r="AA22" s="37">
        <v>5.0</v>
      </c>
      <c r="AB22" s="10">
        <f t="shared" si="49"/>
        <v>40</v>
      </c>
      <c r="AC22" s="10">
        <f t="shared" si="34"/>
        <v>482.2328578</v>
      </c>
      <c r="AD22" s="10">
        <f t="shared" si="50"/>
        <v>0.05700151984</v>
      </c>
      <c r="AE22" s="10"/>
      <c r="AF22" s="10"/>
      <c r="AG22" s="10"/>
      <c r="AH22" s="10">
        <f t="shared" si="37"/>
        <v>905</v>
      </c>
      <c r="AI22" s="10"/>
      <c r="AJ22" s="16"/>
      <c r="AK22" s="10"/>
      <c r="AL22" s="23"/>
      <c r="AM22" s="23"/>
    </row>
    <row r="23" ht="15.75" customHeight="1">
      <c r="A23" s="38"/>
      <c r="B23" s="38"/>
      <c r="C23" s="5"/>
      <c r="D23" s="39"/>
      <c r="E23" s="38"/>
      <c r="F23" s="38"/>
      <c r="G23" s="38"/>
      <c r="H23" s="40" t="str">
        <f>IFERROR(VLOOKUP(A23, Registo_Diario_Motorista!$A$2:$M$5001, 13, FALSE), "")</f>
        <v/>
      </c>
      <c r="I23" s="41"/>
      <c r="J23" s="38"/>
      <c r="K23" s="42"/>
      <c r="L23" s="39"/>
      <c r="M23" s="43"/>
      <c r="N23" s="44"/>
      <c r="O23" s="45"/>
      <c r="P23" s="43"/>
      <c r="Q23" s="44"/>
      <c r="R23" s="46"/>
      <c r="S23" s="47"/>
      <c r="T23" s="48"/>
      <c r="U23" s="46"/>
      <c r="V23" s="48"/>
      <c r="W23" s="48"/>
      <c r="X23" s="48"/>
      <c r="Y23" s="38"/>
      <c r="Z23" s="38"/>
      <c r="AA23" s="49"/>
      <c r="AB23" s="48"/>
      <c r="AC23" s="48"/>
      <c r="AD23" s="48"/>
      <c r="AE23" s="48"/>
      <c r="AF23" s="48"/>
      <c r="AG23" s="48"/>
      <c r="AH23" s="48"/>
      <c r="AI23" s="48"/>
      <c r="AJ23" s="39"/>
      <c r="AK23" s="48"/>
      <c r="AL23" s="50"/>
      <c r="AM23" s="50"/>
    </row>
    <row r="24" ht="15.75" customHeight="1">
      <c r="A24" s="51" t="str">
        <f>Registo_Diario_Motorista!A2</f>
        <v>BOTO</v>
      </c>
      <c r="B24" s="52">
        <f>Registo_Diario_Motorista!B2</f>
        <v>46172</v>
      </c>
      <c r="C24" s="51" t="s">
        <v>18</v>
      </c>
      <c r="D24" s="53" t="str">
        <f>Registo_Diario_Motorista!E2</f>
        <v>Agromundo</v>
      </c>
      <c r="E24" s="54">
        <f>Registo_Diario_Motorista!F2</f>
        <v>345182</v>
      </c>
      <c r="F24" s="55">
        <f>Registo_Diario_Motorista!G2</f>
        <v>345880</v>
      </c>
      <c r="G24" s="17">
        <f>IFERROR(__xludf.DUMMYFUNCTION("IFERROR(FILTER(Registo_Diario_Motorista!H:H, Registo_Diario_Motorista!A:A = A24, Registo_Diario_Motorista!C:C = C24, Registo_Diario_Motorista!E:E = D24), 0)"),698.0)</f>
        <v>698</v>
      </c>
      <c r="H24" s="1" t="s">
        <v>21</v>
      </c>
      <c r="I24" s="18">
        <f>IFERROR(VLOOKUP(H24, Tabela_ConsPort!D:E, 2, FALSE), 0)</f>
        <v>18.15</v>
      </c>
      <c r="J24" s="51">
        <f>SUMIFS(Registo_Diario_Motorista!N:N, Registo_Diario_Motorista!A:A, A24, Registo_Diario_Motorista!C:C, C24, Registo_Diario_Motorista!E:E, D24)</f>
        <v>15.05</v>
      </c>
      <c r="K24" s="12" t="str">
        <f>IFERROR(__xludf.DUMMYFUNCTION("IFERROR(FILTER(Registo_Diario_Motorista!D:D, Registo_Diario_Motorista!A:A = A24, Registo_Diario_Motorista!C:C = C24), """")"),"CAMIAO+REBOQUE")</f>
        <v>CAMIAO+REBOQUE</v>
      </c>
      <c r="L24" s="56">
        <f>SUMIFS(Registo_Diario_Motorista!J:J, Registo_Diario_Motorista!A:A, A24, Registo_Diario_Motorista!C:C, C24, Registo_Diario_Motorista!E:E, D24)</f>
        <v>26216</v>
      </c>
      <c r="M24" s="9">
        <f t="shared" ref="M24:M36" si="52">IF(K24="LEVE","Volume",L24/IF(K24="CAMIAO+REBOQUE",24000,14000))</f>
        <v>1.092333333</v>
      </c>
      <c r="N24" s="6">
        <f t="shared" ref="N24:N36" si="53">L24*G24</f>
        <v>18298768</v>
      </c>
      <c r="O24" s="21">
        <f t="shared" ref="O24:O36" si="54">SUMIF(A:A,A24,N:N)</f>
        <v>18298768</v>
      </c>
      <c r="P24" s="9">
        <f t="shared" ref="P24:P36" si="55">IF(OR(L24=0, I24="VAZIO", I24="RETORNO"), 1, If(I24="CAMIAO", IF(L24/14000 &gt;= 1, 1, L24/14000), IF(L24/24000 &gt;= 1, 1, L24/24000)))</f>
        <v>1</v>
      </c>
      <c r="Q24" s="6">
        <f>VLOOKUP(L24, Tabela_ConsPort!$A$2:$B$7, 2, TRUE)</f>
        <v>38</v>
      </c>
      <c r="R24" s="22">
        <f t="shared" ref="R24:R36" si="56">Q24/100*G24</f>
        <v>265.24</v>
      </c>
      <c r="S24" s="31">
        <v>1.83</v>
      </c>
      <c r="T24" s="10">
        <f t="shared" ref="T24:T36" si="57">R24*S24</f>
        <v>485.3892</v>
      </c>
      <c r="U24" s="22">
        <f t="shared" ref="U24:U36" si="58">(G24*2.5)/100</f>
        <v>17.45</v>
      </c>
      <c r="V24" s="10">
        <f t="shared" ref="V24:V36" si="59">U24*0.3</f>
        <v>5.235</v>
      </c>
      <c r="W24" s="10">
        <f>custo_motorista_e_veiculo!C$11*G24</f>
        <v>186.4574747</v>
      </c>
      <c r="X24" s="10">
        <f>G24*custo_motorista_e_veiculo!L$13</f>
        <v>191.6834538</v>
      </c>
      <c r="Y24" s="57">
        <f>SUMIFS(Registo_Diario_Motorista!O:O, Registo_Diario_Motorista!A:A, A24, Registo_Diario_Motorista!C:C, C24, Registo_Diario_Motorista!E:E, D24)</f>
        <v>70</v>
      </c>
      <c r="Z24" s="57">
        <f>SUMIFS(Registo_Diario_Motorista!P:P, Registo_Diario_Motorista!A:A, A24, Registo_Diario_Motorista!C:C, C24, Registo_Diario_Motorista!E:E, D24)</f>
        <v>10.5</v>
      </c>
      <c r="AA24" s="58">
        <f>SUMIFS(Registo_Diario_Motorista!Q:Q, Registo_Diario_Motorista!A:A, A24, Registo_Diario_Motorista!C:C, C24, Registo_Diario_Motorista!E:E, D24)</f>
        <v>0</v>
      </c>
      <c r="AB24" s="10">
        <f t="shared" ref="AB24:AB36" si="60">AA24*8</f>
        <v>0</v>
      </c>
      <c r="AC24" s="10">
        <f t="shared" ref="AC24:AC36" si="61">J24+T24+W24+X24+V24</f>
        <v>883.8151285</v>
      </c>
      <c r="AD24" s="10">
        <f t="shared" ref="AD24:AD36" si="62">IFERROR(AC24/L24, 0)</f>
        <v>0.03371281387</v>
      </c>
      <c r="AE24" s="10">
        <f>P24*SUMIF(A:A,A24,AF:AF)</f>
        <v>1767.266552</v>
      </c>
      <c r="AF24" s="10">
        <f>SUMIFS(AC:AC,A:A,A24)+SUMIFS(Y:Y,A:A,A24)+SUMIFS(Z:Z,A:A,A24)+SUMIFS(AB:AB,A:A,A24)+SUMIFS(I:I,A:A,A24)</f>
        <v>1767.266552</v>
      </c>
      <c r="AG24" s="10">
        <f>SUMIFS(AC:AC, A:A, A24) * 1.25</f>
        <v>2009.52069</v>
      </c>
      <c r="AH24" s="10">
        <f>SUMIFS(AJ:AJ,A:A,A24)</f>
        <v>1799</v>
      </c>
      <c r="AI24" s="10">
        <f>SUMIF(A:A, A24, AH:AH) - SUMIF(A:A, A24, AF:AF)</f>
        <v>31.73344784</v>
      </c>
      <c r="AJ24" s="59">
        <v>1799.0</v>
      </c>
      <c r="AK24" s="10" t="str">
        <f t="shared" ref="AK24:AK36" si="63">IF(AI24&lt;0, "🔴 PREJUÍZO", "🟢 OK")</f>
        <v>🟢 OK</v>
      </c>
      <c r="AL24" s="17">
        <f>IFERROR(__xludf.DUMMYFUNCTION("IFERROR(FILTER(Registo_Diario_Motorista!K:K, Registo_Diario_Motorista!A:A = A24, Registo_Diario_Motorista!C:C = C24), 0)"),291.11)</f>
        <v>291.11</v>
      </c>
      <c r="AM24" s="60">
        <f>IFERROR(__xludf.DUMMYFUNCTION("IFERROR(FILTER(Registo_Diario_Motorista!L:L, Registo_Diario_Motorista!A:A = A24, Registo_Diario_Motorista!C:C = C24), 0)"),494.6)</f>
        <v>494.6</v>
      </c>
    </row>
    <row r="25" ht="15.75" customHeight="1">
      <c r="A25" s="51" t="str">
        <f>Registo_Diario_Motorista!A3</f>
        <v>BOTO</v>
      </c>
      <c r="B25" s="52">
        <f>Registo_Diario_Motorista!B3</f>
        <v>46175</v>
      </c>
      <c r="C25" s="12" t="s">
        <v>22</v>
      </c>
      <c r="D25" s="53" t="str">
        <f>Registo_Diario_Motorista!E3</f>
        <v>Tecfil</v>
      </c>
      <c r="E25" s="54">
        <f>Registo_Diario_Motorista!F3</f>
        <v>345880</v>
      </c>
      <c r="F25" s="55">
        <f>Registo_Diario_Motorista!G3</f>
        <v>346584</v>
      </c>
      <c r="G25" s="17">
        <f>IFERROR(__xludf.DUMMYFUNCTION("IFERROR(FILTER(Registo_Diario_Motorista!H:H, Registo_Diario_Motorista!A:A = A25, Registo_Diario_Motorista!C:C = C25, Registo_Diario_Motorista!E:E = D25), 0)"),704.0)</f>
        <v>704</v>
      </c>
      <c r="H25" s="1" t="s">
        <v>21</v>
      </c>
      <c r="I25" s="18">
        <f>IFERROR(VLOOKUP(H25, Tabela_ConsPort!D:E, 2, FALSE), 0)</f>
        <v>18.15</v>
      </c>
      <c r="J25" s="51">
        <f>SUMIFS(Registo_Diario_Motorista!N:N, Registo_Diario_Motorista!A:A, A25, Registo_Diario_Motorista!C:C, C25, Registo_Diario_Motorista!E:E, D25)</f>
        <v>15.05</v>
      </c>
      <c r="K25" s="12" t="str">
        <f>IFERROR(__xludf.DUMMYFUNCTION("IFERROR(FILTER(Registo_Diario_Motorista!D:D, Registo_Diario_Motorista!A:A = A25, Registo_Diario_Motorista!C:C = C25), """")"),"CAMIAO+REBOQUE")</f>
        <v>CAMIAO+REBOQUE</v>
      </c>
      <c r="L25" s="56">
        <f>SUMIFS(Registo_Diario_Motorista!J:J, Registo_Diario_Motorista!A:A, A25, Registo_Diario_Motorista!C:C, C25, Registo_Diario_Motorista!E:E, D25)</f>
        <v>0</v>
      </c>
      <c r="M25" s="9">
        <f t="shared" si="52"/>
        <v>0</v>
      </c>
      <c r="N25" s="6">
        <f t="shared" si="53"/>
        <v>0</v>
      </c>
      <c r="O25" s="21">
        <f t="shared" si="54"/>
        <v>18298768</v>
      </c>
      <c r="P25" s="9">
        <f t="shared" si="55"/>
        <v>1</v>
      </c>
      <c r="Q25" s="6">
        <f>VLOOKUP(L25, Tabela_ConsPort!$A$2:$B$7, 2, TRUE)</f>
        <v>25</v>
      </c>
      <c r="R25" s="22">
        <f t="shared" si="56"/>
        <v>176</v>
      </c>
      <c r="S25" s="31">
        <v>1.83</v>
      </c>
      <c r="T25" s="10">
        <f t="shared" si="57"/>
        <v>322.08</v>
      </c>
      <c r="U25" s="22">
        <f t="shared" si="58"/>
        <v>17.6</v>
      </c>
      <c r="V25" s="10">
        <f t="shared" si="59"/>
        <v>5.28</v>
      </c>
      <c r="W25" s="10">
        <f>custo_motorista_e_veiculo!C$11*G25</f>
        <v>188.0602611</v>
      </c>
      <c r="X25" s="10">
        <f>G25*custo_motorista_e_veiculo!L$13</f>
        <v>193.3311626</v>
      </c>
      <c r="Y25" s="57">
        <f>SUMIFS(Registo_Diario_Motorista!O:O, Registo_Diario_Motorista!A:A, A25, Registo_Diario_Motorista!C:C, C25, Registo_Diario_Motorista!E:E, D25)</f>
        <v>0</v>
      </c>
      <c r="Z25" s="57">
        <f>SUMIFS(Registo_Diario_Motorista!P:P, Registo_Diario_Motorista!A:A, A25, Registo_Diario_Motorista!C:C, C25, Registo_Diario_Motorista!E:E, D25)</f>
        <v>18.85</v>
      </c>
      <c r="AA25" s="58">
        <f>SUMIFS(Registo_Diario_Motorista!Q:Q, Registo_Diario_Motorista!A:A, A25, Registo_Diario_Motorista!C:C, C25, Registo_Diario_Motorista!E:E, D25)</f>
        <v>3</v>
      </c>
      <c r="AB25" s="10">
        <f t="shared" si="60"/>
        <v>24</v>
      </c>
      <c r="AC25" s="10">
        <f t="shared" si="61"/>
        <v>723.8014236</v>
      </c>
      <c r="AD25" s="10">
        <f t="shared" si="62"/>
        <v>0</v>
      </c>
      <c r="AE25" s="10"/>
      <c r="AF25" s="10"/>
      <c r="AG25" s="10"/>
      <c r="AH25" s="10"/>
      <c r="AI25" s="10"/>
      <c r="AJ25" s="59"/>
      <c r="AK25" s="10" t="str">
        <f t="shared" si="63"/>
        <v>🟢 OK</v>
      </c>
      <c r="AL25" s="17">
        <f>IFERROR(__xludf.DUMMYFUNCTION("IFERROR(FILTER(Registo_Diario_Motorista!K:K, Registo_Diario_Motorista!A:A = A25, Registo_Diario_Motorista!C:C = C25), 0)"),318.0)</f>
        <v>318</v>
      </c>
      <c r="AM25" s="60">
        <f>IFERROR(__xludf.DUMMYFUNCTION("IFERROR(FILTER(Registo_Diario_Motorista!L:L, Registo_Diario_Motorista!A:A = A25, Registo_Diario_Motorista!C:C = C25), 0)"),448.06)</f>
        <v>448.06</v>
      </c>
    </row>
    <row r="26" ht="15.75" customHeight="1">
      <c r="A26" s="51" t="str">
        <f>Registo_Diario_Motorista!A4</f>
        <v>oe</v>
      </c>
      <c r="B26" s="52">
        <f>Registo_Diario_Motorista!B4</f>
        <v>46176</v>
      </c>
      <c r="C26" s="12" t="s">
        <v>18</v>
      </c>
      <c r="D26" s="53" t="str">
        <f>Registo_Diario_Motorista!E4</f>
        <v>rede</v>
      </c>
      <c r="E26" s="54">
        <f>Registo_Diario_Motorista!F4</f>
        <v>346584</v>
      </c>
      <c r="F26" s="55">
        <f>Registo_Diario_Motorista!G4</f>
        <v>346675</v>
      </c>
      <c r="G26" s="17">
        <f>IFERROR(__xludf.DUMMYFUNCTION("IFERROR(FILTER(Registo_Diario_Motorista!H:H, Registo_Diario_Motorista!A:A = A26, Registo_Diario_Motorista!C:C = C26, Registo_Diario_Motorista!E:E = D26), 0)"),91.0)</f>
        <v>91</v>
      </c>
      <c r="H26" s="1" t="s">
        <v>27</v>
      </c>
      <c r="I26" s="18">
        <f>IFERROR(VLOOKUP(H26, Tabela_ConsPort!D:E, 2, FALSE), 0)</f>
        <v>14.15</v>
      </c>
      <c r="J26" s="51">
        <f>SUMIFS(Registo_Diario_Motorista!N:N, Registo_Diario_Motorista!A:A, A26, Registo_Diario_Motorista!C:C, C26, Registo_Diario_Motorista!E:E, D26)</f>
        <v>0</v>
      </c>
      <c r="K26" s="12" t="s">
        <v>25</v>
      </c>
      <c r="L26" s="56">
        <f>SUMIFS(Registo_Diario_Motorista!J:J, Registo_Diario_Motorista!A:A, A26, Registo_Diario_Motorista!C:C, C26, Registo_Diario_Motorista!E:E, D26)</f>
        <v>339</v>
      </c>
      <c r="M26" s="9">
        <f t="shared" si="52"/>
        <v>0.02421428571</v>
      </c>
      <c r="N26" s="6">
        <f t="shared" si="53"/>
        <v>30849</v>
      </c>
      <c r="O26" s="21">
        <f t="shared" si="54"/>
        <v>175976</v>
      </c>
      <c r="P26" s="9">
        <f t="shared" si="55"/>
        <v>0.014125</v>
      </c>
      <c r="Q26" s="6">
        <f>VLOOKUP(L26, Tabela_ConsPort!$A$2:$B$7, 2, TRUE)</f>
        <v>25</v>
      </c>
      <c r="R26" s="22">
        <f t="shared" si="56"/>
        <v>22.75</v>
      </c>
      <c r="S26" s="31">
        <v>1.83</v>
      </c>
      <c r="T26" s="10">
        <f t="shared" si="57"/>
        <v>41.6325</v>
      </c>
      <c r="U26" s="22">
        <f t="shared" si="58"/>
        <v>2.275</v>
      </c>
      <c r="V26" s="10">
        <f t="shared" si="59"/>
        <v>0.6825</v>
      </c>
      <c r="W26" s="10">
        <f>custo_motorista_e_veiculo!C$11*G26</f>
        <v>24.30892579</v>
      </c>
      <c r="X26" s="10">
        <f>G26*custo_motorista_e_veiculo!L$13</f>
        <v>24.99024971</v>
      </c>
      <c r="Y26" s="57">
        <f>SUMIFS(Registo_Diario_Motorista!O:O, Registo_Diario_Motorista!A:A, A26, Registo_Diario_Motorista!C:C, C26, Registo_Diario_Motorista!E:E, D26)</f>
        <v>0</v>
      </c>
      <c r="Z26" s="57">
        <f>SUMIFS(Registo_Diario_Motorista!P:P, Registo_Diario_Motorista!A:A, A26, Registo_Diario_Motorista!C:C, C26, Registo_Diario_Motorista!E:E, D26)</f>
        <v>0</v>
      </c>
      <c r="AA26" s="58">
        <f>SUMIFS(Registo_Diario_Motorista!Q:Q, Registo_Diario_Motorista!A:A, A26, Registo_Diario_Motorista!C:C, C26, Registo_Diario_Motorista!E:E, D26)</f>
        <v>0</v>
      </c>
      <c r="AB26" s="10">
        <f t="shared" si="60"/>
        <v>0</v>
      </c>
      <c r="AC26" s="10">
        <f t="shared" si="61"/>
        <v>91.6141755</v>
      </c>
      <c r="AD26" s="10">
        <f t="shared" si="62"/>
        <v>0.2702483053</v>
      </c>
      <c r="AE26" s="10">
        <f t="shared" ref="AE26:AE36" si="64">P26*SUMIF(A:A,A26,AF:AF)</f>
        <v>39.80290276</v>
      </c>
      <c r="AF26" s="10">
        <f t="shared" ref="AF26:AF36" si="65">SUMIFS(AC:AC,A:A,A26)+SUMIFS(Y:Y,A:A,A26)+SUMIFS(Z:Z,A:A,A26)+SUMIFS(AB:AB,A:A,A26)+SUMIFS(I:I,A:A,A26)</f>
        <v>313.1005134</v>
      </c>
      <c r="AG26" s="10">
        <f t="shared" ref="AG26:AG36" si="66">SUMIFS(AC:AC, A:A, A26) * 1.25</f>
        <v>363.6881417</v>
      </c>
      <c r="AH26" s="10">
        <f t="shared" ref="AH26:AH36" si="67">SUMIFS(AJ:AJ,A:A,A26)</f>
        <v>400</v>
      </c>
      <c r="AI26" s="10">
        <f t="shared" ref="AI26:AI36" si="68">SUMIF(A:A, A26, AH:AH) - SUMIF(A:A, A26, AF:AF)</f>
        <v>782.0953795</v>
      </c>
      <c r="AJ26" s="59">
        <v>400.0</v>
      </c>
      <c r="AK26" s="10" t="str">
        <f t="shared" si="63"/>
        <v>🟢 OK</v>
      </c>
      <c r="AL26" s="17" t="str">
        <f>IFERROR(__xludf.DUMMYFUNCTION("IFERROR(FILTER(Registo_Diario_Motorista!K:K, Registo_Diario_Motorista!A:A = A26, Registo_Diario_Motorista!C:C = C26), 0)"),"#REF!")</f>
        <v>#REF!</v>
      </c>
      <c r="AM26" s="60" t="str">
        <f>IFERROR(__xludf.DUMMYFUNCTION("IFERROR(FILTER(Registo_Diario_Motorista!L:L, Registo_Diario_Motorista!A:A = A26, Registo_Diario_Motorista!C:C = C26), 0)"),"#REF!")</f>
        <v>#REF!</v>
      </c>
    </row>
    <row r="27" ht="15.75" customHeight="1">
      <c r="A27" s="51" t="str">
        <f>Registo_Diario_Motorista!A5</f>
        <v>oe</v>
      </c>
      <c r="B27" s="52">
        <f>Registo_Diario_Motorista!B5</f>
        <v>46176</v>
      </c>
      <c r="C27" s="12" t="s">
        <v>18</v>
      </c>
      <c r="D27" s="53" t="str">
        <f>Registo_Diario_Motorista!E5</f>
        <v>sal</v>
      </c>
      <c r="E27" s="54">
        <f>Registo_Diario_Motorista!F5</f>
        <v>346675</v>
      </c>
      <c r="F27" s="55">
        <f>Registo_Diario_Motorista!G5</f>
        <v>346678</v>
      </c>
      <c r="G27" s="17">
        <f>IFERROR(__xludf.DUMMYFUNCTION("IFERROR(FILTER(Registo_Diario_Motorista!H:H, Registo_Diario_Motorista!A:A = A27, Registo_Diario_Motorista!C:C = C27, Registo_Diario_Motorista!E:E = D27), 0)"),3.0)</f>
        <v>3</v>
      </c>
      <c r="H27" s="1" t="s">
        <v>29</v>
      </c>
      <c r="I27" s="18">
        <f>IFERROR(VLOOKUP(H27, Tabela_ConsPort!D:E, 2, FALSE), 0)</f>
        <v>0</v>
      </c>
      <c r="J27" s="51">
        <f>SUMIFS(Registo_Diario_Motorista!N:N, Registo_Diario_Motorista!A:A, A27, Registo_Diario_Motorista!C:C, C27, Registo_Diario_Motorista!E:E, D27)</f>
        <v>0</v>
      </c>
      <c r="K27" s="12" t="s">
        <v>25</v>
      </c>
      <c r="L27" s="56">
        <f>SUMIFS(Registo_Diario_Motorista!J:J, Registo_Diario_Motorista!A:A, A27, Registo_Diario_Motorista!C:C, C27, Registo_Diario_Motorista!E:E, D27)</f>
        <v>2863</v>
      </c>
      <c r="M27" s="9">
        <f t="shared" si="52"/>
        <v>0.2045</v>
      </c>
      <c r="N27" s="6">
        <f t="shared" si="53"/>
        <v>8589</v>
      </c>
      <c r="O27" s="21">
        <f t="shared" si="54"/>
        <v>175976</v>
      </c>
      <c r="P27" s="9">
        <f t="shared" si="55"/>
        <v>0.1192916667</v>
      </c>
      <c r="Q27" s="6">
        <f>VLOOKUP(L27, Tabela_ConsPort!$A$2:$B$7, 2, TRUE)</f>
        <v>25</v>
      </c>
      <c r="R27" s="22">
        <f t="shared" si="56"/>
        <v>0.75</v>
      </c>
      <c r="S27" s="31">
        <v>1.83</v>
      </c>
      <c r="T27" s="10">
        <f t="shared" si="57"/>
        <v>1.3725</v>
      </c>
      <c r="U27" s="22">
        <f t="shared" si="58"/>
        <v>0.075</v>
      </c>
      <c r="V27" s="10">
        <f t="shared" si="59"/>
        <v>0.0225</v>
      </c>
      <c r="W27" s="10">
        <f>custo_motorista_e_veiculo!C$11*G27</f>
        <v>0.8013931579</v>
      </c>
      <c r="X27" s="10">
        <f>G27*custo_motorista_e_veiculo!L$13</f>
        <v>0.823854386</v>
      </c>
      <c r="Y27" s="57">
        <f>SUMIFS(Registo_Diario_Motorista!O:O, Registo_Diario_Motorista!A:A, A27, Registo_Diario_Motorista!C:C, C27, Registo_Diario_Motorista!E:E, D27)</f>
        <v>0</v>
      </c>
      <c r="Z27" s="57">
        <f>SUMIFS(Registo_Diario_Motorista!P:P, Registo_Diario_Motorista!A:A, A27, Registo_Diario_Motorista!C:C, C27, Registo_Diario_Motorista!E:E, D27)</f>
        <v>0</v>
      </c>
      <c r="AA27" s="58">
        <f>SUMIFS(Registo_Diario_Motorista!Q:Q, Registo_Diario_Motorista!A:A, A27, Registo_Diario_Motorista!C:C, C27, Registo_Diario_Motorista!E:E, D27)</f>
        <v>0</v>
      </c>
      <c r="AB27" s="10">
        <f t="shared" si="60"/>
        <v>0</v>
      </c>
      <c r="AC27" s="10">
        <f t="shared" si="61"/>
        <v>3.020247544</v>
      </c>
      <c r="AD27" s="10">
        <f t="shared" si="62"/>
        <v>0.001054924046</v>
      </c>
      <c r="AE27" s="10">
        <f t="shared" si="64"/>
        <v>336.1525387</v>
      </c>
      <c r="AF27" s="10">
        <f t="shared" si="65"/>
        <v>313.1005134</v>
      </c>
      <c r="AG27" s="10">
        <f t="shared" si="66"/>
        <v>363.6881417</v>
      </c>
      <c r="AH27" s="10">
        <f t="shared" si="67"/>
        <v>400</v>
      </c>
      <c r="AI27" s="10">
        <f t="shared" si="68"/>
        <v>782.0953795</v>
      </c>
      <c r="AJ27" s="61"/>
      <c r="AK27" s="10" t="str">
        <f t="shared" si="63"/>
        <v>🟢 OK</v>
      </c>
      <c r="AL27" s="17" t="str">
        <f>IFERROR(__xludf.DUMMYFUNCTION("IFERROR(FILTER(Registo_Diario_Motorista!K:K, Registo_Diario_Motorista!A:A = A27, Registo_Diario_Motorista!C:C = C27), 0)"),"#REF!")</f>
        <v>#REF!</v>
      </c>
      <c r="AM27" s="60" t="str">
        <f>IFERROR(__xludf.DUMMYFUNCTION("IFERROR(FILTER(Registo_Diario_Motorista!L:L, Registo_Diario_Motorista!A:A = A27, Registo_Diario_Motorista!C:C = C27), 0)"),"#REF!")</f>
        <v>#REF!</v>
      </c>
    </row>
    <row r="28" ht="15.75" customHeight="1">
      <c r="A28" s="51" t="str">
        <f>Registo_Diario_Motorista!A6</f>
        <v>oe</v>
      </c>
      <c r="B28" s="52">
        <f>Registo_Diario_Motorista!B6</f>
        <v>46176</v>
      </c>
      <c r="C28" s="12" t="s">
        <v>18</v>
      </c>
      <c r="D28" s="53" t="str">
        <f>Registo_Diario_Motorista!E6</f>
        <v>maravedis </v>
      </c>
      <c r="E28" s="54">
        <f>Registo_Diario_Motorista!F6</f>
        <v>346678</v>
      </c>
      <c r="F28" s="55">
        <f>Registo_Diario_Motorista!G6</f>
        <v>346696</v>
      </c>
      <c r="G28" s="17">
        <f>IFERROR(__xludf.DUMMYFUNCTION("IFERROR(FILTER(Registo_Diario_Motorista!H:H, Registo_Diario_Motorista!A:A = A28, Registo_Diario_Motorista!C:C = C28, Registo_Diario_Motorista!E:E = D28), 0)"),18.0)</f>
        <v>18</v>
      </c>
      <c r="H28" s="1" t="s">
        <v>29</v>
      </c>
      <c r="I28" s="18">
        <f>IFERROR(VLOOKUP(H28, Tabela_ConsPort!D:E, 2, FALSE), 0)</f>
        <v>0</v>
      </c>
      <c r="J28" s="51">
        <f>SUMIFS(Registo_Diario_Motorista!N:N, Registo_Diario_Motorista!A:A, A28, Registo_Diario_Motorista!C:C, C28, Registo_Diario_Motorista!E:E, D28)</f>
        <v>0</v>
      </c>
      <c r="K28" s="12" t="s">
        <v>25</v>
      </c>
      <c r="L28" s="56">
        <f>SUMIFS(Registo_Diario_Motorista!J:J, Registo_Diario_Motorista!A:A, A28, Registo_Diario_Motorista!C:C, C28, Registo_Diario_Motorista!E:E, D28)</f>
        <v>300</v>
      </c>
      <c r="M28" s="9">
        <f t="shared" si="52"/>
        <v>0.02142857143</v>
      </c>
      <c r="N28" s="6">
        <f t="shared" si="53"/>
        <v>5400</v>
      </c>
      <c r="O28" s="21">
        <f t="shared" si="54"/>
        <v>175976</v>
      </c>
      <c r="P28" s="9">
        <f t="shared" si="55"/>
        <v>0.0125</v>
      </c>
      <c r="Q28" s="6">
        <f>VLOOKUP(L28, Tabela_ConsPort!$A$2:$B$7, 2, TRUE)</f>
        <v>25</v>
      </c>
      <c r="R28" s="22">
        <f t="shared" si="56"/>
        <v>4.5</v>
      </c>
      <c r="S28" s="31">
        <v>1.83</v>
      </c>
      <c r="T28" s="10">
        <f t="shared" si="57"/>
        <v>8.235</v>
      </c>
      <c r="U28" s="22">
        <f t="shared" si="58"/>
        <v>0.45</v>
      </c>
      <c r="V28" s="10">
        <f t="shared" si="59"/>
        <v>0.135</v>
      </c>
      <c r="W28" s="10">
        <f>custo_motorista_e_veiculo!C$11*G28</f>
        <v>4.808358947</v>
      </c>
      <c r="X28" s="10">
        <f>G28*custo_motorista_e_veiculo!L$13</f>
        <v>4.943126316</v>
      </c>
      <c r="Y28" s="57">
        <f>SUMIFS(Registo_Diario_Motorista!O:O, Registo_Diario_Motorista!A:A, A28, Registo_Diario_Motorista!C:C, C28, Registo_Diario_Motorista!E:E, D28)</f>
        <v>0</v>
      </c>
      <c r="Z28" s="57">
        <f>SUMIFS(Registo_Diario_Motorista!P:P, Registo_Diario_Motorista!A:A, A28, Registo_Diario_Motorista!C:C, C28, Registo_Diario_Motorista!E:E, D28)</f>
        <v>0</v>
      </c>
      <c r="AA28" s="58">
        <f>SUMIFS(Registo_Diario_Motorista!Q:Q, Registo_Diario_Motorista!A:A, A28, Registo_Diario_Motorista!C:C, C28, Registo_Diario_Motorista!E:E, D28)</f>
        <v>0</v>
      </c>
      <c r="AB28" s="10">
        <f t="shared" si="60"/>
        <v>0</v>
      </c>
      <c r="AC28" s="10">
        <f t="shared" si="61"/>
        <v>18.12148526</v>
      </c>
      <c r="AD28" s="10">
        <f t="shared" si="62"/>
        <v>0.06040495088</v>
      </c>
      <c r="AE28" s="10">
        <f t="shared" si="64"/>
        <v>35.22380776</v>
      </c>
      <c r="AF28" s="10">
        <f t="shared" si="65"/>
        <v>313.1005134</v>
      </c>
      <c r="AG28" s="10">
        <f t="shared" si="66"/>
        <v>363.6881417</v>
      </c>
      <c r="AH28" s="10">
        <f t="shared" si="67"/>
        <v>400</v>
      </c>
      <c r="AI28" s="10">
        <f t="shared" si="68"/>
        <v>782.0953795</v>
      </c>
      <c r="AJ28" s="61"/>
      <c r="AK28" s="10" t="str">
        <f t="shared" si="63"/>
        <v>🟢 OK</v>
      </c>
      <c r="AL28" s="17" t="str">
        <f>IFERROR(__xludf.DUMMYFUNCTION("IFERROR(FILTER(Registo_Diario_Motorista!K:K, Registo_Diario_Motorista!A:A = A28, Registo_Diario_Motorista!C:C = C28), 0)"),"#REF!")</f>
        <v>#REF!</v>
      </c>
      <c r="AM28" s="60" t="str">
        <f>IFERROR(__xludf.DUMMYFUNCTION("IFERROR(FILTER(Registo_Diario_Motorista!L:L, Registo_Diario_Motorista!A:A = A28, Registo_Diario_Motorista!C:C = C28), 0)"),"#REF!")</f>
        <v>#REF!</v>
      </c>
    </row>
    <row r="29" ht="15.75" customHeight="1">
      <c r="A29" s="51" t="str">
        <f>Registo_Diario_Motorista!A7</f>
        <v>oe</v>
      </c>
      <c r="B29" s="52">
        <f>Registo_Diario_Motorista!B7</f>
        <v>46176</v>
      </c>
      <c r="C29" s="12" t="s">
        <v>18</v>
      </c>
      <c r="D29" s="53" t="str">
        <f>Registo_Diario_Motorista!E7</f>
        <v>cyr</v>
      </c>
      <c r="E29" s="54">
        <f>Registo_Diario_Motorista!F7</f>
        <v>346696</v>
      </c>
      <c r="F29" s="55">
        <f>Registo_Diario_Motorista!G7</f>
        <v>346705</v>
      </c>
      <c r="G29" s="17">
        <f>IFERROR(__xludf.DUMMYFUNCTION("IFERROR(FILTER(Registo_Diario_Motorista!H:H, Registo_Diario_Motorista!A:A = A29, Registo_Diario_Motorista!C:C = C29, Registo_Diario_Motorista!E:E = D29), 0)"),9.0)</f>
        <v>9</v>
      </c>
      <c r="H29" s="1" t="s">
        <v>29</v>
      </c>
      <c r="I29" s="18">
        <f>IFERROR(VLOOKUP(H29, Tabela_ConsPort!D:E, 2, FALSE), 0)</f>
        <v>0</v>
      </c>
      <c r="J29" s="51">
        <f>SUMIFS(Registo_Diario_Motorista!N:N, Registo_Diario_Motorista!A:A, A29, Registo_Diario_Motorista!C:C, C29, Registo_Diario_Motorista!E:E, D29)</f>
        <v>0</v>
      </c>
      <c r="K29" s="12" t="s">
        <v>25</v>
      </c>
      <c r="L29" s="56">
        <f>SUMIFS(Registo_Diario_Motorista!J:J, Registo_Diario_Motorista!A:A, A29, Registo_Diario_Motorista!C:C, C29, Registo_Diario_Motorista!E:E, D29)</f>
        <v>2312</v>
      </c>
      <c r="M29" s="9">
        <f t="shared" si="52"/>
        <v>0.1651428571</v>
      </c>
      <c r="N29" s="6">
        <f t="shared" si="53"/>
        <v>20808</v>
      </c>
      <c r="O29" s="21">
        <f t="shared" si="54"/>
        <v>175976</v>
      </c>
      <c r="P29" s="9">
        <f t="shared" si="55"/>
        <v>0.09633333333</v>
      </c>
      <c r="Q29" s="6">
        <f>VLOOKUP(L29, Tabela_ConsPort!$A$2:$B$7, 2, TRUE)</f>
        <v>25</v>
      </c>
      <c r="R29" s="22">
        <f t="shared" si="56"/>
        <v>2.25</v>
      </c>
      <c r="S29" s="31">
        <v>1.83</v>
      </c>
      <c r="T29" s="10">
        <f t="shared" si="57"/>
        <v>4.1175</v>
      </c>
      <c r="U29" s="22">
        <f t="shared" si="58"/>
        <v>0.225</v>
      </c>
      <c r="V29" s="10">
        <f t="shared" si="59"/>
        <v>0.0675</v>
      </c>
      <c r="W29" s="10">
        <f>custo_motorista_e_veiculo!C$11*G29</f>
        <v>2.404179474</v>
      </c>
      <c r="X29" s="10">
        <f>G29*custo_motorista_e_veiculo!L$13</f>
        <v>2.471563158</v>
      </c>
      <c r="Y29" s="57">
        <f>SUMIFS(Registo_Diario_Motorista!O:O, Registo_Diario_Motorista!A:A, A29, Registo_Diario_Motorista!C:C, C29, Registo_Diario_Motorista!E:E, D29)</f>
        <v>0</v>
      </c>
      <c r="Z29" s="57">
        <f>SUMIFS(Registo_Diario_Motorista!P:P, Registo_Diario_Motorista!A:A, A29, Registo_Diario_Motorista!C:C, C29, Registo_Diario_Motorista!E:E, D29)</f>
        <v>0</v>
      </c>
      <c r="AA29" s="58">
        <f>SUMIFS(Registo_Diario_Motorista!Q:Q, Registo_Diario_Motorista!A:A, A29, Registo_Diario_Motorista!C:C, C29, Registo_Diario_Motorista!E:E, D29)</f>
        <v>0</v>
      </c>
      <c r="AB29" s="10">
        <f t="shared" si="60"/>
        <v>0</v>
      </c>
      <c r="AC29" s="10">
        <f t="shared" si="61"/>
        <v>9.060742632</v>
      </c>
      <c r="AD29" s="10">
        <f t="shared" si="62"/>
        <v>0.003919006329</v>
      </c>
      <c r="AE29" s="10">
        <f t="shared" si="64"/>
        <v>271.4581451</v>
      </c>
      <c r="AF29" s="10">
        <f t="shared" si="65"/>
        <v>313.1005134</v>
      </c>
      <c r="AG29" s="10">
        <f t="shared" si="66"/>
        <v>363.6881417</v>
      </c>
      <c r="AH29" s="10">
        <f t="shared" si="67"/>
        <v>400</v>
      </c>
      <c r="AI29" s="10">
        <f t="shared" si="68"/>
        <v>782.0953795</v>
      </c>
      <c r="AJ29" s="61"/>
      <c r="AK29" s="10" t="str">
        <f t="shared" si="63"/>
        <v>🟢 OK</v>
      </c>
      <c r="AL29" s="17" t="str">
        <f>IFERROR(__xludf.DUMMYFUNCTION("IFERROR(FILTER(Registo_Diario_Motorista!K:K, Registo_Diario_Motorista!A:A = A29, Registo_Diario_Motorista!C:C = C29), 0)"),"#REF!")</f>
        <v>#REF!</v>
      </c>
      <c r="AM29" s="60" t="str">
        <f>IFERROR(__xludf.DUMMYFUNCTION("IFERROR(FILTER(Registo_Diario_Motorista!L:L, Registo_Diario_Motorista!A:A = A29, Registo_Diario_Motorista!C:C = C29), 0)"),"#REF!")</f>
        <v>#REF!</v>
      </c>
    </row>
    <row r="30" ht="15.75" customHeight="1">
      <c r="A30" s="51" t="str">
        <f>Registo_Diario_Motorista!A8</f>
        <v>oe</v>
      </c>
      <c r="B30" s="52">
        <f>Registo_Diario_Motorista!B8</f>
        <v>46176</v>
      </c>
      <c r="C30" s="12" t="s">
        <v>18</v>
      </c>
      <c r="D30" s="53" t="str">
        <f>Registo_Diario_Motorista!E8</f>
        <v>vecotorres</v>
      </c>
      <c r="E30" s="54">
        <f>Registo_Diario_Motorista!F8</f>
        <v>346705</v>
      </c>
      <c r="F30" s="55">
        <f>Registo_Diario_Motorista!G8</f>
        <v>346716</v>
      </c>
      <c r="G30" s="17">
        <f>IFERROR(__xludf.DUMMYFUNCTION("IFERROR(FILTER(Registo_Diario_Motorista!H:H, Registo_Diario_Motorista!A:A = A30, Registo_Diario_Motorista!C:C = C30, Registo_Diario_Motorista!E:E = D30), 0)"),11.0)</f>
        <v>11</v>
      </c>
      <c r="H30" s="1" t="s">
        <v>29</v>
      </c>
      <c r="I30" s="18">
        <f>IFERROR(VLOOKUP(H30, Tabela_ConsPort!D:E, 2, FALSE), 0)</f>
        <v>0</v>
      </c>
      <c r="J30" s="51">
        <f>SUMIFS(Registo_Diario_Motorista!N:N, Registo_Diario_Motorista!A:A, A30, Registo_Diario_Motorista!C:C, C30, Registo_Diario_Motorista!E:E, D30)</f>
        <v>0</v>
      </c>
      <c r="K30" s="12" t="s">
        <v>25</v>
      </c>
      <c r="L30" s="56">
        <f>SUMIFS(Registo_Diario_Motorista!J:J, Registo_Diario_Motorista!A:A, A30, Registo_Diario_Motorista!C:C, C30, Registo_Diario_Motorista!E:E, D30)</f>
        <v>4832</v>
      </c>
      <c r="M30" s="9">
        <f t="shared" si="52"/>
        <v>0.3451428571</v>
      </c>
      <c r="N30" s="6">
        <f t="shared" si="53"/>
        <v>53152</v>
      </c>
      <c r="O30" s="21">
        <f t="shared" si="54"/>
        <v>175976</v>
      </c>
      <c r="P30" s="9">
        <f t="shared" si="55"/>
        <v>0.2013333333</v>
      </c>
      <c r="Q30" s="6">
        <f>VLOOKUP(L30, Tabela_ConsPort!$A$2:$B$7, 2, TRUE)</f>
        <v>25</v>
      </c>
      <c r="R30" s="22">
        <f t="shared" si="56"/>
        <v>2.75</v>
      </c>
      <c r="S30" s="31">
        <v>1.83</v>
      </c>
      <c r="T30" s="10">
        <f t="shared" si="57"/>
        <v>5.0325</v>
      </c>
      <c r="U30" s="22">
        <f t="shared" si="58"/>
        <v>0.275</v>
      </c>
      <c r="V30" s="10">
        <f t="shared" si="59"/>
        <v>0.0825</v>
      </c>
      <c r="W30" s="10">
        <f>custo_motorista_e_veiculo!C$11*G30</f>
        <v>2.938441579</v>
      </c>
      <c r="X30" s="10">
        <f>G30*custo_motorista_e_veiculo!L$13</f>
        <v>3.020799415</v>
      </c>
      <c r="Y30" s="57">
        <f>SUMIFS(Registo_Diario_Motorista!O:O, Registo_Diario_Motorista!A:A, A30, Registo_Diario_Motorista!C:C, C30, Registo_Diario_Motorista!E:E, D30)</f>
        <v>0</v>
      </c>
      <c r="Z30" s="57">
        <f>SUMIFS(Registo_Diario_Motorista!P:P, Registo_Diario_Motorista!A:A, A30, Registo_Diario_Motorista!C:C, C30, Registo_Diario_Motorista!E:E, D30)</f>
        <v>0</v>
      </c>
      <c r="AA30" s="58">
        <f>SUMIFS(Registo_Diario_Motorista!Q:Q, Registo_Diario_Motorista!A:A, A30, Registo_Diario_Motorista!C:C, C30, Registo_Diario_Motorista!E:E, D30)</f>
        <v>0</v>
      </c>
      <c r="AB30" s="10">
        <f t="shared" si="60"/>
        <v>0</v>
      </c>
      <c r="AC30" s="10">
        <f t="shared" si="61"/>
        <v>11.07424099</v>
      </c>
      <c r="AD30" s="10">
        <f t="shared" si="62"/>
        <v>0.00229185451</v>
      </c>
      <c r="AE30" s="10">
        <f t="shared" si="64"/>
        <v>567.3381303</v>
      </c>
      <c r="AF30" s="10">
        <f t="shared" si="65"/>
        <v>313.1005134</v>
      </c>
      <c r="AG30" s="10">
        <f t="shared" si="66"/>
        <v>363.6881417</v>
      </c>
      <c r="AH30" s="10">
        <f t="shared" si="67"/>
        <v>400</v>
      </c>
      <c r="AI30" s="10">
        <f t="shared" si="68"/>
        <v>782.0953795</v>
      </c>
      <c r="AJ30" s="61"/>
      <c r="AK30" s="10" t="str">
        <f t="shared" si="63"/>
        <v>🟢 OK</v>
      </c>
      <c r="AL30" s="17" t="str">
        <f>IFERROR(__xludf.DUMMYFUNCTION("IFERROR(FILTER(Registo_Diario_Motorista!K:K, Registo_Diario_Motorista!A:A = A30, Registo_Diario_Motorista!C:C = C30), 0)"),"#REF!")</f>
        <v>#REF!</v>
      </c>
      <c r="AM30" s="60" t="str">
        <f>IFERROR(__xludf.DUMMYFUNCTION("IFERROR(FILTER(Registo_Diario_Motorista!L:L, Registo_Diario_Motorista!A:A = A30, Registo_Diario_Motorista!C:C = C30), 0)"),"#REF!")</f>
        <v>#REF!</v>
      </c>
    </row>
    <row r="31" ht="15.75" customHeight="1">
      <c r="A31" s="51" t="str">
        <f>Registo_Diario_Motorista!A9</f>
        <v>oe</v>
      </c>
      <c r="B31" s="52">
        <f>Registo_Diario_Motorista!B9</f>
        <v>46176</v>
      </c>
      <c r="C31" s="12" t="s">
        <v>18</v>
      </c>
      <c r="D31" s="53" t="str">
        <f>Registo_Diario_Motorista!E9</f>
        <v>liscampo</v>
      </c>
      <c r="E31" s="54">
        <f>Registo_Diario_Motorista!F9</f>
        <v>346716</v>
      </c>
      <c r="F31" s="55">
        <f>Registo_Diario_Motorista!G9</f>
        <v>346750</v>
      </c>
      <c r="G31" s="17">
        <f>IFERROR(__xludf.DUMMYFUNCTION("IFERROR(FILTER(Registo_Diario_Motorista!H:H, Registo_Diario_Motorista!A:A = A31, Registo_Diario_Motorista!C:C = C31, Registo_Diario_Motorista!E:E = D31), 0)"),34.0)</f>
        <v>34</v>
      </c>
      <c r="H31" s="1" t="s">
        <v>29</v>
      </c>
      <c r="I31" s="18">
        <f>IFERROR(VLOOKUP(H31, Tabela_ConsPort!D:E, 2, FALSE), 0)</f>
        <v>0</v>
      </c>
      <c r="J31" s="51">
        <f>SUMIFS(Registo_Diario_Motorista!N:N, Registo_Diario_Motorista!A:A, A31, Registo_Diario_Motorista!C:C, C31, Registo_Diario_Motorista!E:E, D31)</f>
        <v>0</v>
      </c>
      <c r="K31" s="12" t="s">
        <v>25</v>
      </c>
      <c r="L31" s="56">
        <f>SUMIFS(Registo_Diario_Motorista!J:J, Registo_Diario_Motorista!A:A, A31, Registo_Diario_Motorista!C:C, C31, Registo_Diario_Motorista!E:E, D31)</f>
        <v>800</v>
      </c>
      <c r="M31" s="9">
        <f t="shared" si="52"/>
        <v>0.05714285714</v>
      </c>
      <c r="N31" s="6">
        <f t="shared" si="53"/>
        <v>27200</v>
      </c>
      <c r="O31" s="21">
        <f t="shared" si="54"/>
        <v>175976</v>
      </c>
      <c r="P31" s="9">
        <f t="shared" si="55"/>
        <v>0.03333333333</v>
      </c>
      <c r="Q31" s="6">
        <f>VLOOKUP(L31, Tabela_ConsPort!$A$2:$B$7, 2, TRUE)</f>
        <v>25</v>
      </c>
      <c r="R31" s="22">
        <f t="shared" si="56"/>
        <v>8.5</v>
      </c>
      <c r="S31" s="31">
        <v>1.83</v>
      </c>
      <c r="T31" s="10">
        <f t="shared" si="57"/>
        <v>15.555</v>
      </c>
      <c r="U31" s="22">
        <f t="shared" si="58"/>
        <v>0.85</v>
      </c>
      <c r="V31" s="10">
        <f t="shared" si="59"/>
        <v>0.255</v>
      </c>
      <c r="W31" s="10">
        <f>custo_motorista_e_veiculo!C$11*G31</f>
        <v>9.082455789</v>
      </c>
      <c r="X31" s="10">
        <f>G31*custo_motorista_e_veiculo!L$13</f>
        <v>9.337016374</v>
      </c>
      <c r="Y31" s="57">
        <f>SUMIFS(Registo_Diario_Motorista!O:O, Registo_Diario_Motorista!A:A, A31, Registo_Diario_Motorista!C:C, C31, Registo_Diario_Motorista!E:E, D31)</f>
        <v>0</v>
      </c>
      <c r="Z31" s="57">
        <f>SUMIFS(Registo_Diario_Motorista!P:P, Registo_Diario_Motorista!A:A, A31, Registo_Diario_Motorista!C:C, C31, Registo_Diario_Motorista!E:E, D31)</f>
        <v>0</v>
      </c>
      <c r="AA31" s="58">
        <f>SUMIFS(Registo_Diario_Motorista!Q:Q, Registo_Diario_Motorista!A:A, A31, Registo_Diario_Motorista!C:C, C31, Registo_Diario_Motorista!E:E, D31)</f>
        <v>0</v>
      </c>
      <c r="AB31" s="10">
        <f t="shared" si="60"/>
        <v>0</v>
      </c>
      <c r="AC31" s="10">
        <f t="shared" si="61"/>
        <v>34.22947216</v>
      </c>
      <c r="AD31" s="10">
        <f t="shared" si="62"/>
        <v>0.0427868402</v>
      </c>
      <c r="AE31" s="10">
        <f t="shared" si="64"/>
        <v>93.93015402</v>
      </c>
      <c r="AF31" s="10">
        <f t="shared" si="65"/>
        <v>313.1005134</v>
      </c>
      <c r="AG31" s="10">
        <f t="shared" si="66"/>
        <v>363.6881417</v>
      </c>
      <c r="AH31" s="10">
        <f t="shared" si="67"/>
        <v>400</v>
      </c>
      <c r="AI31" s="10">
        <f t="shared" si="68"/>
        <v>782.0953795</v>
      </c>
      <c r="AJ31" s="61"/>
      <c r="AK31" s="10" t="str">
        <f t="shared" si="63"/>
        <v>🟢 OK</v>
      </c>
      <c r="AL31" s="17" t="str">
        <f>IFERROR(__xludf.DUMMYFUNCTION("IFERROR(FILTER(Registo_Diario_Motorista!K:K, Registo_Diario_Motorista!A:A = A31, Registo_Diario_Motorista!C:C = C31), 0)"),"#REF!")</f>
        <v>#REF!</v>
      </c>
      <c r="AM31" s="60" t="str">
        <f>IFERROR(__xludf.DUMMYFUNCTION("IFERROR(FILTER(Registo_Diario_Motorista!L:L, Registo_Diario_Motorista!A:A = A31, Registo_Diario_Motorista!C:C = C31), 0)"),"#REF!")</f>
        <v>#REF!</v>
      </c>
    </row>
    <row r="32" ht="15.75" customHeight="1">
      <c r="A32" s="51" t="str">
        <f>Registo_Diario_Motorista!A10</f>
        <v>oe</v>
      </c>
      <c r="B32" s="52">
        <f>Registo_Diario_Motorista!B10</f>
        <v>46176</v>
      </c>
      <c r="C32" s="12" t="s">
        <v>18</v>
      </c>
      <c r="D32" s="53" t="str">
        <f>Registo_Diario_Motorista!E10</f>
        <v>morgado </v>
      </c>
      <c r="E32" s="54">
        <f>Registo_Diario_Motorista!F10</f>
        <v>346750</v>
      </c>
      <c r="F32" s="55">
        <f>Registo_Diario_Motorista!G10</f>
        <v>346812</v>
      </c>
      <c r="G32" s="17">
        <f>IFERROR(__xludf.DUMMYFUNCTION("IFERROR(FILTER(Registo_Diario_Motorista!H:H, Registo_Diario_Motorista!A:A = A32, Registo_Diario_Motorista!C:C = C32, Registo_Diario_Motorista!E:E = D32), 0)"),62.0)</f>
        <v>62</v>
      </c>
      <c r="H32" s="1" t="s">
        <v>29</v>
      </c>
      <c r="I32" s="18">
        <f>IFERROR(VLOOKUP(H32, Tabela_ConsPort!D:E, 2, FALSE), 0)</f>
        <v>0</v>
      </c>
      <c r="J32" s="51">
        <f>SUMIFS(Registo_Diario_Motorista!N:N, Registo_Diario_Motorista!A:A, A32, Registo_Diario_Motorista!C:C, C32, Registo_Diario_Motorista!E:E, D32)</f>
        <v>0</v>
      </c>
      <c r="K32" s="12" t="s">
        <v>25</v>
      </c>
      <c r="L32" s="56">
        <f>SUMIFS(Registo_Diario_Motorista!J:J, Registo_Diario_Motorista!A:A, A32, Registo_Diario_Motorista!C:C, C32, Registo_Diario_Motorista!E:E, D32)</f>
        <v>419</v>
      </c>
      <c r="M32" s="9">
        <f t="shared" si="52"/>
        <v>0.02992857143</v>
      </c>
      <c r="N32" s="6">
        <f t="shared" si="53"/>
        <v>25978</v>
      </c>
      <c r="O32" s="21">
        <f t="shared" si="54"/>
        <v>175976</v>
      </c>
      <c r="P32" s="9">
        <f t="shared" si="55"/>
        <v>0.01745833333</v>
      </c>
      <c r="Q32" s="6">
        <f>VLOOKUP(L32, Tabela_ConsPort!$A$2:$B$7, 2, TRUE)</f>
        <v>25</v>
      </c>
      <c r="R32" s="22">
        <f t="shared" si="56"/>
        <v>15.5</v>
      </c>
      <c r="S32" s="31">
        <v>1.83</v>
      </c>
      <c r="T32" s="10">
        <f t="shared" si="57"/>
        <v>28.365</v>
      </c>
      <c r="U32" s="22">
        <f t="shared" si="58"/>
        <v>1.55</v>
      </c>
      <c r="V32" s="10">
        <f t="shared" si="59"/>
        <v>0.465</v>
      </c>
      <c r="W32" s="10">
        <f>custo_motorista_e_veiculo!C$11*G32</f>
        <v>16.56212526</v>
      </c>
      <c r="X32" s="10">
        <f>G32*custo_motorista_e_veiculo!L$13</f>
        <v>17.02632398</v>
      </c>
      <c r="Y32" s="57">
        <f>SUMIFS(Registo_Diario_Motorista!O:O, Registo_Diario_Motorista!A:A, A32, Registo_Diario_Motorista!C:C, C32, Registo_Diario_Motorista!E:E, D32)</f>
        <v>0</v>
      </c>
      <c r="Z32" s="57">
        <f>SUMIFS(Registo_Diario_Motorista!P:P, Registo_Diario_Motorista!A:A, A32, Registo_Diario_Motorista!C:C, C32, Registo_Diario_Motorista!E:E, D32)</f>
        <v>0</v>
      </c>
      <c r="AA32" s="58">
        <f>SUMIFS(Registo_Diario_Motorista!Q:Q, Registo_Diario_Motorista!A:A, A32, Registo_Diario_Motorista!C:C, C32, Registo_Diario_Motorista!E:E, D32)</f>
        <v>0</v>
      </c>
      <c r="AB32" s="10">
        <f t="shared" si="60"/>
        <v>0</v>
      </c>
      <c r="AC32" s="10">
        <f t="shared" si="61"/>
        <v>62.41844924</v>
      </c>
      <c r="AD32" s="10">
        <f t="shared" si="62"/>
        <v>0.1489700459</v>
      </c>
      <c r="AE32" s="10">
        <f t="shared" si="64"/>
        <v>49.19591817</v>
      </c>
      <c r="AF32" s="10">
        <f t="shared" si="65"/>
        <v>313.1005134</v>
      </c>
      <c r="AG32" s="10">
        <f t="shared" si="66"/>
        <v>363.6881417</v>
      </c>
      <c r="AH32" s="10">
        <f t="shared" si="67"/>
        <v>400</v>
      </c>
      <c r="AI32" s="10">
        <f t="shared" si="68"/>
        <v>782.0953795</v>
      </c>
      <c r="AJ32" s="61"/>
      <c r="AK32" s="10" t="str">
        <f t="shared" si="63"/>
        <v>🟢 OK</v>
      </c>
      <c r="AL32" s="17" t="str">
        <f>IFERROR(__xludf.DUMMYFUNCTION("IFERROR(FILTER(Registo_Diario_Motorista!K:K, Registo_Diario_Motorista!A:A = A32, Registo_Diario_Motorista!C:C = C32), 0)"),"#REF!")</f>
        <v>#REF!</v>
      </c>
      <c r="AM32" s="60" t="str">
        <f>IFERROR(__xludf.DUMMYFUNCTION("IFERROR(FILTER(Registo_Diario_Motorista!L:L, Registo_Diario_Motorista!A:A = A32, Registo_Diario_Motorista!C:C = C32), 0)"),"#REF!")</f>
        <v>#REF!</v>
      </c>
    </row>
    <row r="33" ht="15.75" customHeight="1">
      <c r="A33" s="51" t="str">
        <f>Registo_Diario_Motorista!A11</f>
        <v>oe</v>
      </c>
      <c r="B33" s="52">
        <f>Registo_Diario_Motorista!B11</f>
        <v>46176</v>
      </c>
      <c r="C33" s="12" t="s">
        <v>18</v>
      </c>
      <c r="D33" s="53" t="str">
        <f>Registo_Diario_Motorista!E11</f>
        <v>esequiel</v>
      </c>
      <c r="E33" s="54">
        <f>Registo_Diario_Motorista!F11</f>
        <v>346812</v>
      </c>
      <c r="F33" s="55">
        <f>Registo_Diario_Motorista!G11</f>
        <v>346820</v>
      </c>
      <c r="G33" s="17">
        <f>IFERROR(__xludf.DUMMYFUNCTION("IFERROR(FILTER(Registo_Diario_Motorista!H:H, Registo_Diario_Motorista!A:A = A33, Registo_Diario_Motorista!C:C = C33, Registo_Diario_Motorista!E:E = D33), 0)"),8.0)</f>
        <v>8</v>
      </c>
      <c r="H33" s="1" t="s">
        <v>29</v>
      </c>
      <c r="I33" s="18">
        <f>IFERROR(VLOOKUP(H33, Tabela_ConsPort!D:E, 2, FALSE), 0)</f>
        <v>0</v>
      </c>
      <c r="J33" s="51">
        <f>SUMIFS(Registo_Diario_Motorista!N:N, Registo_Diario_Motorista!A:A, A33, Registo_Diario_Motorista!C:C, C33, Registo_Diario_Motorista!E:E, D33)</f>
        <v>0</v>
      </c>
      <c r="K33" s="12" t="s">
        <v>25</v>
      </c>
      <c r="L33" s="56">
        <f>SUMIFS(Registo_Diario_Motorista!J:J, Registo_Diario_Motorista!A:A, A33, Registo_Diario_Motorista!C:C, C33, Registo_Diario_Motorista!E:E, D33)</f>
        <v>500</v>
      </c>
      <c r="M33" s="9">
        <f t="shared" si="52"/>
        <v>0.03571428571</v>
      </c>
      <c r="N33" s="6">
        <f t="shared" si="53"/>
        <v>4000</v>
      </c>
      <c r="O33" s="21">
        <f t="shared" si="54"/>
        <v>175976</v>
      </c>
      <c r="P33" s="9">
        <f t="shared" si="55"/>
        <v>0.02083333333</v>
      </c>
      <c r="Q33" s="6">
        <f>VLOOKUP(L33, Tabela_ConsPort!$A$2:$B$7, 2, TRUE)</f>
        <v>25</v>
      </c>
      <c r="R33" s="22">
        <f t="shared" si="56"/>
        <v>2</v>
      </c>
      <c r="S33" s="31">
        <v>1.83</v>
      </c>
      <c r="T33" s="10">
        <f t="shared" si="57"/>
        <v>3.66</v>
      </c>
      <c r="U33" s="22">
        <f t="shared" si="58"/>
        <v>0.2</v>
      </c>
      <c r="V33" s="10">
        <f t="shared" si="59"/>
        <v>0.06</v>
      </c>
      <c r="W33" s="10">
        <f>custo_motorista_e_veiculo!C$11*G33</f>
        <v>2.137048421</v>
      </c>
      <c r="X33" s="10">
        <f>G33*custo_motorista_e_veiculo!L$13</f>
        <v>2.196945029</v>
      </c>
      <c r="Y33" s="57">
        <f>SUMIFS(Registo_Diario_Motorista!O:O, Registo_Diario_Motorista!A:A, A33, Registo_Diario_Motorista!C:C, C33, Registo_Diario_Motorista!E:E, D33)</f>
        <v>0</v>
      </c>
      <c r="Z33" s="57">
        <f>SUMIFS(Registo_Diario_Motorista!P:P, Registo_Diario_Motorista!A:A, A33, Registo_Diario_Motorista!C:C, C33, Registo_Diario_Motorista!E:E, D33)</f>
        <v>0</v>
      </c>
      <c r="AA33" s="58">
        <f>SUMIFS(Registo_Diario_Motorista!Q:Q, Registo_Diario_Motorista!A:A, A33, Registo_Diario_Motorista!C:C, C33, Registo_Diario_Motorista!E:E, D33)</f>
        <v>0</v>
      </c>
      <c r="AB33" s="10">
        <f t="shared" si="60"/>
        <v>0</v>
      </c>
      <c r="AC33" s="10">
        <f t="shared" si="61"/>
        <v>8.05399345</v>
      </c>
      <c r="AD33" s="10">
        <f t="shared" si="62"/>
        <v>0.0161079869</v>
      </c>
      <c r="AE33" s="10">
        <f t="shared" si="64"/>
        <v>58.70634626</v>
      </c>
      <c r="AF33" s="10">
        <f t="shared" si="65"/>
        <v>313.1005134</v>
      </c>
      <c r="AG33" s="10">
        <f t="shared" si="66"/>
        <v>363.6881417</v>
      </c>
      <c r="AH33" s="10">
        <f t="shared" si="67"/>
        <v>400</v>
      </c>
      <c r="AI33" s="10">
        <f t="shared" si="68"/>
        <v>782.0953795</v>
      </c>
      <c r="AJ33" s="61"/>
      <c r="AK33" s="10" t="str">
        <f t="shared" si="63"/>
        <v>🟢 OK</v>
      </c>
      <c r="AL33" s="17" t="str">
        <f>IFERROR(__xludf.DUMMYFUNCTION("IFERROR(FILTER(Registo_Diario_Motorista!K:K, Registo_Diario_Motorista!A:A = A33, Registo_Diario_Motorista!C:C = C33), 0)"),"#REF!")</f>
        <v>#REF!</v>
      </c>
      <c r="AM33" s="60" t="str">
        <f>IFERROR(__xludf.DUMMYFUNCTION("IFERROR(FILTER(Registo_Diario_Motorista!L:L, Registo_Diario_Motorista!A:A = A33, Registo_Diario_Motorista!C:C = C33), 0)"),"#REF!")</f>
        <v>#REF!</v>
      </c>
    </row>
    <row r="34" ht="15.75" customHeight="1">
      <c r="A34" s="51" t="str">
        <f>Registo_Diario_Motorista!A12</f>
        <v>oe</v>
      </c>
      <c r="B34" s="52">
        <f>Registo_Diario_Motorista!B12</f>
        <v>46176</v>
      </c>
      <c r="C34" s="12" t="s">
        <v>22</v>
      </c>
      <c r="D34" s="53" t="str">
        <f>Registo_Diario_Motorista!E12</f>
        <v>volta</v>
      </c>
      <c r="E34" s="54">
        <f>Registo_Diario_Motorista!F12</f>
        <v>346820</v>
      </c>
      <c r="F34" s="55">
        <f>Registo_Diario_Motorista!G12</f>
        <v>346873</v>
      </c>
      <c r="G34" s="17">
        <f>IFERROR(__xludf.DUMMYFUNCTION("IFERROR(FILTER(Registo_Diario_Motorista!H:H, Registo_Diario_Motorista!A:A = A34, Registo_Diario_Motorista!C:C = C34, Registo_Diario_Motorista!E:E = D34), 0)"),53.0)</f>
        <v>53</v>
      </c>
      <c r="H34" s="1" t="s">
        <v>29</v>
      </c>
      <c r="I34" s="18">
        <f>IFERROR(VLOOKUP(H34, Tabela_ConsPort!D:E, 2, FALSE), 0)</f>
        <v>0</v>
      </c>
      <c r="J34" s="51">
        <f>SUMIFS(Registo_Diario_Motorista!N:N, Registo_Diario_Motorista!A:A, A34, Registo_Diario_Motorista!C:C, C34, Registo_Diario_Motorista!E:E, D34)</f>
        <v>0</v>
      </c>
      <c r="K34" s="12" t="str">
        <f>IFERROR(__xludf.DUMMYFUNCTION("IFERROR(FILTER(Registo_Diario_Motorista!D:D, Registo_Diario_Motorista!A:A = A34, Registo_Diario_Motorista!C:C = C34), """")"),"VAZIO")</f>
        <v>VAZIO</v>
      </c>
      <c r="L34" s="56">
        <f>SUMIFS(Registo_Diario_Motorista!J:J, Registo_Diario_Motorista!A:A, A34, Registo_Diario_Motorista!C:C, C34, Registo_Diario_Motorista!E:E, D34)</f>
        <v>0</v>
      </c>
      <c r="M34" s="9">
        <f t="shared" si="52"/>
        <v>0</v>
      </c>
      <c r="N34" s="6">
        <f t="shared" si="53"/>
        <v>0</v>
      </c>
      <c r="O34" s="21">
        <f t="shared" si="54"/>
        <v>175976</v>
      </c>
      <c r="P34" s="9">
        <f t="shared" si="55"/>
        <v>1</v>
      </c>
      <c r="Q34" s="6">
        <f>VLOOKUP(L34, Tabela_ConsPort!$A$2:$B$7, 2, TRUE)</f>
        <v>25</v>
      </c>
      <c r="R34" s="22">
        <f t="shared" si="56"/>
        <v>13.25</v>
      </c>
      <c r="S34" s="31">
        <v>1.83</v>
      </c>
      <c r="T34" s="10">
        <f t="shared" si="57"/>
        <v>24.2475</v>
      </c>
      <c r="U34" s="22">
        <f t="shared" si="58"/>
        <v>1.325</v>
      </c>
      <c r="V34" s="10">
        <f t="shared" si="59"/>
        <v>0.3975</v>
      </c>
      <c r="W34" s="10">
        <f>custo_motorista_e_veiculo!C$11*G34</f>
        <v>14.15794579</v>
      </c>
      <c r="X34" s="10">
        <f>G34*custo_motorista_e_veiculo!L$13</f>
        <v>14.55476082</v>
      </c>
      <c r="Y34" s="57">
        <f>SUMIFS(Registo_Diario_Motorista!O:O, Registo_Diario_Motorista!A:A, A34, Registo_Diario_Motorista!C:C, C34, Registo_Diario_Motorista!E:E, D34)</f>
        <v>0</v>
      </c>
      <c r="Z34" s="57">
        <f>SUMIFS(Registo_Diario_Motorista!P:P, Registo_Diario_Motorista!A:A, A34, Registo_Diario_Motorista!C:C, C34, Registo_Diario_Motorista!E:E, D34)</f>
        <v>0</v>
      </c>
      <c r="AA34" s="58">
        <f>SUMIFS(Registo_Diario_Motorista!Q:Q, Registo_Diario_Motorista!A:A, A34, Registo_Diario_Motorista!C:C, C34, Registo_Diario_Motorista!E:E, D34)</f>
        <v>1</v>
      </c>
      <c r="AB34" s="10">
        <f t="shared" si="60"/>
        <v>8</v>
      </c>
      <c r="AC34" s="10">
        <f t="shared" si="61"/>
        <v>53.35770661</v>
      </c>
      <c r="AD34" s="10">
        <f t="shared" si="62"/>
        <v>0</v>
      </c>
      <c r="AE34" s="10">
        <f t="shared" si="64"/>
        <v>2817.904621</v>
      </c>
      <c r="AF34" s="10">
        <f t="shared" si="65"/>
        <v>313.1005134</v>
      </c>
      <c r="AG34" s="10">
        <f t="shared" si="66"/>
        <v>363.6881417</v>
      </c>
      <c r="AH34" s="10">
        <f t="shared" si="67"/>
        <v>400</v>
      </c>
      <c r="AI34" s="10">
        <f t="shared" si="68"/>
        <v>782.0953795</v>
      </c>
      <c r="AJ34" s="61"/>
      <c r="AK34" s="10" t="str">
        <f t="shared" si="63"/>
        <v>🟢 OK</v>
      </c>
      <c r="AL34" s="17" t="str">
        <f>IFERROR(__xludf.DUMMYFUNCTION("IFERROR(FILTER(Registo_Diario_Motorista!K:K, Registo_Diario_Motorista!A:A = A34, Registo_Diario_Motorista!C:C = C34), 0)"),"")</f>
        <v/>
      </c>
      <c r="AM34" s="60" t="str">
        <f>IFERROR(__xludf.DUMMYFUNCTION("IFERROR(FILTER(Registo_Diario_Motorista!L:L, Registo_Diario_Motorista!A:A = A34, Registo_Diario_Motorista!C:C = C34), 0)"),"")</f>
        <v/>
      </c>
    </row>
    <row r="35" ht="15.75" customHeight="1">
      <c r="A35" s="51" t="str">
        <f>Registo_Diario_Motorista!A13</f>
        <v/>
      </c>
      <c r="B35" s="4" t="str">
        <f>Registo_Diario_Motorista!B13</f>
        <v/>
      </c>
      <c r="C35" s="5" t="s">
        <v>22</v>
      </c>
      <c r="D35" s="53"/>
      <c r="E35" s="54" t="str">
        <f>Registo_Diario_Motorista!F14</f>
        <v/>
      </c>
      <c r="F35" s="55" t="str">
        <f>Registo_Diario_Motorista!G14</f>
        <v/>
      </c>
      <c r="G35" s="17">
        <f>IFERROR(__xludf.DUMMYFUNCTION("IFERROR(FILTER(Registo_Diario_Motorista!H:H, Registo_Diario_Motorista!A:A = A35, Registo_Diario_Motorista!C:C = C35), 0)"),0.0)</f>
        <v>0</v>
      </c>
      <c r="H35" s="17" t="str">
        <f>IFERROR(VLOOKUP(A35, Registo_Diario_Motorista!$A$2:$M$5001, 13, FALSE), "")</f>
        <v/>
      </c>
      <c r="I35" s="18">
        <f>IFERROR(VLOOKUP(H35, Tabela_ConsPort!D:E, 2, FALSE), 0)</f>
        <v>0</v>
      </c>
      <c r="J35" s="55">
        <f>IFERROR(__xludf.DUMMYFUNCTION("IFERROR(FILTER(Registo_Diario_Motorista!N:N, Registo_Diario_Motorista!A:A = A35, Registo_Diario_Motorista!C:C = C35), 0)"),0.0)</f>
        <v>0</v>
      </c>
      <c r="K35" s="12" t="str">
        <f>IFERROR(__xludf.DUMMYFUNCTION("IFERROR(FILTER(Registo_Diario_Motorista!D:D, Registo_Diario_Motorista!A:A = A35, Registo_Diario_Motorista!C:C = C35), """")"),"")</f>
        <v/>
      </c>
      <c r="L35" s="56">
        <f>SUMIFS(Registo_Diario_Motorista!J:J, Registo_Diario_Motorista!A:A, A35, Registo_Diario_Motorista!C:C, C35, Registo_Diario_Motorista!E:E, D35)</f>
        <v>0</v>
      </c>
      <c r="M35" s="9">
        <f t="shared" si="52"/>
        <v>0</v>
      </c>
      <c r="N35" s="6">
        <f t="shared" si="53"/>
        <v>0</v>
      </c>
      <c r="O35" s="21">
        <f t="shared" si="54"/>
        <v>0</v>
      </c>
      <c r="P35" s="9">
        <f t="shared" si="55"/>
        <v>1</v>
      </c>
      <c r="Q35" s="6">
        <f>VLOOKUP(L35, Tabela_ConsPort!$A$2:$B$7, 2, TRUE)</f>
        <v>25</v>
      </c>
      <c r="R35" s="22">
        <f t="shared" si="56"/>
        <v>0</v>
      </c>
      <c r="S35" s="31">
        <v>1.83</v>
      </c>
      <c r="T35" s="10">
        <f t="shared" si="57"/>
        <v>0</v>
      </c>
      <c r="U35" s="22">
        <f t="shared" si="58"/>
        <v>0</v>
      </c>
      <c r="V35" s="10">
        <f t="shared" si="59"/>
        <v>0</v>
      </c>
      <c r="W35" s="10">
        <f>custo_motorista_e_veiculo!C$11*G35</f>
        <v>0</v>
      </c>
      <c r="X35" s="10">
        <f>G35*custo_motorista_e_veiculo!L$13</f>
        <v>0</v>
      </c>
      <c r="Y35" s="57">
        <f>SUMIFS(Registo_Diario_Motorista!O:O, Registo_Diario_Motorista!A:A, A35, Registo_Diario_Motorista!C:C, C35, Registo_Diario_Motorista!E:E, D35)</f>
        <v>0</v>
      </c>
      <c r="Z35" s="57">
        <f>SUMIFS(Registo_Diario_Motorista!P:P, Registo_Diario_Motorista!A:A, A35, Registo_Diario_Motorista!C:C, C35, Registo_Diario_Motorista!E:E, D35)</f>
        <v>0</v>
      </c>
      <c r="AA35" s="58">
        <f>SUMIFS(Registo_Diario_Motorista!Q:Q, Registo_Diario_Motorista!A:A, A35, Registo_Diario_Motorista!C:C, C35, Registo_Diario_Motorista!E:E, D35)</f>
        <v>0</v>
      </c>
      <c r="AB35" s="10">
        <f t="shared" si="60"/>
        <v>0</v>
      </c>
      <c r="AC35" s="10">
        <f t="shared" si="61"/>
        <v>0</v>
      </c>
      <c r="AD35" s="10">
        <f t="shared" si="62"/>
        <v>0</v>
      </c>
      <c r="AE35" s="10">
        <f t="shared" si="64"/>
        <v>0</v>
      </c>
      <c r="AF35" s="10">
        <f t="shared" si="65"/>
        <v>0</v>
      </c>
      <c r="AG35" s="10">
        <f t="shared" si="66"/>
        <v>0</v>
      </c>
      <c r="AH35" s="10">
        <f t="shared" si="67"/>
        <v>0</v>
      </c>
      <c r="AI35" s="10">
        <f t="shared" si="68"/>
        <v>0</v>
      </c>
      <c r="AJ35" s="61"/>
      <c r="AK35" s="10" t="str">
        <f t="shared" si="63"/>
        <v>🟢 OK</v>
      </c>
      <c r="AL35" s="17">
        <f>IFERROR(__xludf.DUMMYFUNCTION("IFERROR(FILTER(Registo_Diario_Motorista!K:K, Registo_Diario_Motorista!A:A = A35, Registo_Diario_Motorista!C:C = C35), 0)"),0.0)</f>
        <v>0</v>
      </c>
      <c r="AM35" s="60">
        <f>IFERROR(__xludf.DUMMYFUNCTION("IFERROR(FILTER(Registo_Diario_Motorista!L:L, Registo_Diario_Motorista!A:A = A35, Registo_Diario_Motorista!C:C = C35), 0)"),0.0)</f>
        <v>0</v>
      </c>
    </row>
    <row r="36" ht="15.75" customHeight="1">
      <c r="A36" s="51" t="str">
        <f>Registo_Diario_Motorista!A14</f>
        <v/>
      </c>
      <c r="C36" s="5" t="s">
        <v>22</v>
      </c>
      <c r="D36" s="53"/>
      <c r="E36" s="54" t="str">
        <f>Registo_Diario_Motorista!F15</f>
        <v/>
      </c>
      <c r="F36" s="55" t="str">
        <f>Registo_Diario_Motorista!G15</f>
        <v/>
      </c>
      <c r="G36" s="17">
        <f>IFERROR(__xludf.DUMMYFUNCTION("IFERROR(FILTER(Registo_Diario_Motorista!H:H, Registo_Diario_Motorista!A:A = A36, Registo_Diario_Motorista!C:C = C36), 0)"),0.0)</f>
        <v>0</v>
      </c>
      <c r="H36" s="17" t="str">
        <f>IFERROR(VLOOKUP(A36, Registo_Diario_Motorista!$A$2:$M$5001, 13, FALSE), "")</f>
        <v/>
      </c>
      <c r="I36" s="18">
        <f>IFERROR(VLOOKUP(H36, Tabela_ConsPort!D:E, 2, FALSE), 0)</f>
        <v>0</v>
      </c>
      <c r="J36" s="55">
        <f>IFERROR(__xludf.DUMMYFUNCTION("IFERROR(FILTER(Registo_Diario_Motorista!N:N, Registo_Diario_Motorista!A:A = A36, Registo_Diario_Motorista!C:C = C36), 0)"),0.0)</f>
        <v>0</v>
      </c>
      <c r="K36" s="12" t="str">
        <f>IFERROR(__xludf.DUMMYFUNCTION("IFERROR(FILTER(Registo_Diario_Motorista!D:D, Registo_Diario_Motorista!A:A = A36, Registo_Diario_Motorista!C:C = C36), """")"),"")</f>
        <v/>
      </c>
      <c r="L36" s="56">
        <f>SUMIFS(Registo_Diario_Motorista!J:J, Registo_Diario_Motorista!A:A, A36, Registo_Diario_Motorista!C:C, C36, Registo_Diario_Motorista!E:E, D36)</f>
        <v>0</v>
      </c>
      <c r="M36" s="9">
        <f t="shared" si="52"/>
        <v>0</v>
      </c>
      <c r="N36" s="6">
        <f t="shared" si="53"/>
        <v>0</v>
      </c>
      <c r="O36" s="21">
        <f t="shared" si="54"/>
        <v>0</v>
      </c>
      <c r="P36" s="9">
        <f t="shared" si="55"/>
        <v>1</v>
      </c>
      <c r="Q36" s="6">
        <f>VLOOKUP(L36, Tabela_ConsPort!$A$2:$B$7, 2, TRUE)</f>
        <v>25</v>
      </c>
      <c r="R36" s="22">
        <f t="shared" si="56"/>
        <v>0</v>
      </c>
      <c r="S36" s="31">
        <v>1.83</v>
      </c>
      <c r="T36" s="10">
        <f t="shared" si="57"/>
        <v>0</v>
      </c>
      <c r="U36" s="22">
        <f t="shared" si="58"/>
        <v>0</v>
      </c>
      <c r="V36" s="10">
        <f t="shared" si="59"/>
        <v>0</v>
      </c>
      <c r="W36" s="10">
        <f>custo_motorista_e_veiculo!C$11*G36</f>
        <v>0</v>
      </c>
      <c r="X36" s="10">
        <f>G36*custo_motorista_e_veiculo!L$13</f>
        <v>0</v>
      </c>
      <c r="Y36" s="57">
        <f>SUMIFS(Registo_Diario_Motorista!O:O, Registo_Diario_Motorista!A:A, A36, Registo_Diario_Motorista!C:C, C36, Registo_Diario_Motorista!E:E, D36)</f>
        <v>0</v>
      </c>
      <c r="Z36" s="57">
        <f>SUMIFS(Registo_Diario_Motorista!P:P, Registo_Diario_Motorista!A:A, A36, Registo_Diario_Motorista!C:C, C36, Registo_Diario_Motorista!E:E, D36)</f>
        <v>0</v>
      </c>
      <c r="AA36" s="58">
        <f>SUMIFS(Registo_Diario_Motorista!Q:Q, Registo_Diario_Motorista!A:A, A36, Registo_Diario_Motorista!C:C, C36, Registo_Diario_Motorista!E:E, D36)</f>
        <v>0</v>
      </c>
      <c r="AB36" s="10">
        <f t="shared" si="60"/>
        <v>0</v>
      </c>
      <c r="AC36" s="10">
        <f t="shared" si="61"/>
        <v>0</v>
      </c>
      <c r="AD36" s="10">
        <f t="shared" si="62"/>
        <v>0</v>
      </c>
      <c r="AE36" s="10">
        <f t="shared" si="64"/>
        <v>0</v>
      </c>
      <c r="AF36" s="10">
        <f t="shared" si="65"/>
        <v>0</v>
      </c>
      <c r="AG36" s="10">
        <f t="shared" si="66"/>
        <v>0</v>
      </c>
      <c r="AH36" s="10">
        <f t="shared" si="67"/>
        <v>0</v>
      </c>
      <c r="AI36" s="10">
        <f t="shared" si="68"/>
        <v>0</v>
      </c>
      <c r="AJ36" s="61"/>
      <c r="AK36" s="10" t="str">
        <f t="shared" si="63"/>
        <v>🟢 OK</v>
      </c>
      <c r="AL36" s="17">
        <f>IFERROR(__xludf.DUMMYFUNCTION("IFERROR(FILTER(Registo_Diario_Motorista!K:K, Registo_Diario_Motorista!A:A = A36, Registo_Diario_Motorista!C:C = C36), 0)"),0.0)</f>
        <v>0</v>
      </c>
      <c r="AM36" s="60">
        <f>IFERROR(__xludf.DUMMYFUNCTION("IFERROR(FILTER(Registo_Diario_Motorista!L:L, Registo_Diario_Motorista!A:A = A36, Registo_Diario_Motorista!C:C = C36), 0)"),0.0)</f>
        <v>0</v>
      </c>
    </row>
    <row r="37" ht="15.75" customHeight="1">
      <c r="A37" s="51" t="str">
        <f>Registo_Diario_Motorista!A15</f>
        <v/>
      </c>
      <c r="C37" s="5" t="s">
        <v>22</v>
      </c>
      <c r="D37" s="53"/>
      <c r="E37" s="54" t="str">
        <f>Registo_Diario_Motorista!F16</f>
        <v/>
      </c>
      <c r="F37" s="55" t="str">
        <f>Registo_Diario_Motorista!G16</f>
        <v/>
      </c>
      <c r="G37" s="17">
        <f>IFERROR(__xludf.DUMMYFUNCTION("IFERROR(FILTER(Registo_Diario_Motorista!H:H, Registo_Diario_Motorista!A:A = A37, Registo_Diario_Motorista!C:C = C37), 0)"),0.0)</f>
        <v>0</v>
      </c>
      <c r="H37" s="17" t="str">
        <f>IFERROR(VLOOKUP(A37, Registo_Diario_Motorista!$A$2:$M$5001, 13, FALSE), "")</f>
        <v/>
      </c>
      <c r="I37" s="18">
        <f>IFERROR(VLOOKUP(H37, Tabela_ConsPort!D:E, 2, FALSE), 0)</f>
        <v>0</v>
      </c>
      <c r="J37" s="55">
        <f>IFERROR(__xludf.DUMMYFUNCTION("IFERROR(FILTER(Registo_Diario_Motorista!N:N, Registo_Diario_Motorista!A:A = A37, Registo_Diario_Motorista!C:C = C37), 0)"),0.0)</f>
        <v>0</v>
      </c>
      <c r="K37" s="12" t="str">
        <f>IFERROR(__xludf.DUMMYFUNCTION("IFERROR(FILTER(Registo_Diario_Motorista!D:D, Registo_Diario_Motorista!A:A = A37, Registo_Diario_Motorista!C:C = C37), """")"),"")</f>
        <v/>
      </c>
      <c r="L37" s="56">
        <f>IFERROR(__xludf.DUMMYFUNCTION("IF(C37=""Ida"", IFERROR(FILTER(Registo_Diario_Motorista!J:J, Registo_Diario_Motorista!A:A = A37, Registo_Diario_Motorista!C:C = C37), 0), IFERROR(FILTER(Registo_Diario_Motorista!I:I, Registo_Diario_Motorista!A:A = A37, Registo_Diario_Motorista!C:C = C37),"&amp;" 0))"),0.0)</f>
        <v>0</v>
      </c>
      <c r="Q37" s="53"/>
      <c r="R37" s="53"/>
      <c r="S37" s="61"/>
      <c r="T37" s="53"/>
      <c r="W37" s="53"/>
      <c r="X37" s="53"/>
      <c r="Y37" s="55"/>
      <c r="Z37" s="55"/>
      <c r="AA37" s="61"/>
      <c r="AB37" s="53"/>
      <c r="AE37" s="11"/>
      <c r="AF37" s="53"/>
      <c r="AH37" s="53"/>
      <c r="AJ37" s="61"/>
    </row>
    <row r="38" ht="15.75" customHeight="1">
      <c r="A38" s="51" t="str">
        <f>Registo_Diario_Motorista!A16</f>
        <v/>
      </c>
      <c r="C38" s="5" t="s">
        <v>22</v>
      </c>
      <c r="D38" s="53"/>
      <c r="E38" s="54" t="str">
        <f>Registo_Diario_Motorista!F17</f>
        <v/>
      </c>
      <c r="F38" s="55" t="str">
        <f>Registo_Diario_Motorista!G17</f>
        <v/>
      </c>
      <c r="G38" s="17">
        <f>IFERROR(__xludf.DUMMYFUNCTION("IFERROR(FILTER(Registo_Diario_Motorista!H:H, Registo_Diario_Motorista!A:A = A38, Registo_Diario_Motorista!C:C = C38), 0)"),0.0)</f>
        <v>0</v>
      </c>
      <c r="H38" s="17" t="str">
        <f>IFERROR(VLOOKUP(A38, Registo_Diario_Motorista!$A$2:$M$5001, 13, FALSE), "")</f>
        <v/>
      </c>
      <c r="I38" s="18">
        <f>IFERROR(VLOOKUP(H38, Tabela_ConsPort!D:E, 2, FALSE), 0)</f>
        <v>0</v>
      </c>
      <c r="J38" s="55">
        <f>IFERROR(__xludf.DUMMYFUNCTION("IFERROR(FILTER(Registo_Diario_Motorista!N:N, Registo_Diario_Motorista!A:A = A38, Registo_Diario_Motorista!C:C = C38), 0)"),0.0)</f>
        <v>0</v>
      </c>
      <c r="K38" s="12" t="str">
        <f>IFERROR(__xludf.DUMMYFUNCTION("IFERROR(FILTER(Registo_Diario_Motorista!D:D, Registo_Diario_Motorista!A:A = A38, Registo_Diario_Motorista!C:C = C38), """")"),"")</f>
        <v/>
      </c>
      <c r="L38" s="56">
        <f>IFERROR(__xludf.DUMMYFUNCTION("IF(C38=""Ida"", IFERROR(FILTER(Registo_Diario_Motorista!J:J, Registo_Diario_Motorista!A:A = A38, Registo_Diario_Motorista!C:C = C38), 0), IFERROR(FILTER(Registo_Diario_Motorista!I:I, Registo_Diario_Motorista!A:A = A38, Registo_Diario_Motorista!C:C = C38),"&amp;" 0))"),0.0)</f>
        <v>0</v>
      </c>
      <c r="Q38" s="53"/>
      <c r="R38" s="53"/>
      <c r="S38" s="61"/>
      <c r="T38" s="53"/>
      <c r="W38" s="53"/>
      <c r="X38" s="53"/>
      <c r="Y38" s="55"/>
      <c r="Z38" s="55"/>
      <c r="AA38" s="61"/>
      <c r="AB38" s="53"/>
      <c r="AE38" s="11"/>
      <c r="AF38" s="53"/>
      <c r="AH38" s="53"/>
      <c r="AJ38" s="61"/>
    </row>
    <row r="39" ht="15.75" customHeight="1">
      <c r="A39" s="51" t="str">
        <f>Registo_Diario_Motorista!A17</f>
        <v/>
      </c>
      <c r="C39" s="5" t="s">
        <v>22</v>
      </c>
      <c r="D39" s="53"/>
      <c r="E39" s="54" t="str">
        <f>Registo_Diario_Motorista!F18</f>
        <v/>
      </c>
      <c r="F39" s="55" t="str">
        <f>Registo_Diario_Motorista!G18</f>
        <v/>
      </c>
      <c r="G39" s="17">
        <f>IFERROR(__xludf.DUMMYFUNCTION("IFERROR(FILTER(Registo_Diario_Motorista!H:H, Registo_Diario_Motorista!A:A = A39, Registo_Diario_Motorista!C:C = C39), 0)"),0.0)</f>
        <v>0</v>
      </c>
      <c r="H39" s="17" t="str">
        <f>IFERROR(VLOOKUP(A39, Registo_Diario_Motorista!$A$2:$M$5001, 13, FALSE), "")</f>
        <v/>
      </c>
      <c r="I39" s="18">
        <f>IFERROR(VLOOKUP(H39, Tabela_ConsPort!D:E, 2, FALSE), 0)</f>
        <v>0</v>
      </c>
      <c r="J39" s="55">
        <f>IFERROR(__xludf.DUMMYFUNCTION("IFERROR(FILTER(Registo_Diario_Motorista!N:N, Registo_Diario_Motorista!A:A = A39, Registo_Diario_Motorista!C:C = C39), 0)"),0.0)</f>
        <v>0</v>
      </c>
      <c r="K39" s="12" t="str">
        <f>IFERROR(__xludf.DUMMYFUNCTION("IFERROR(FILTER(Registo_Diario_Motorista!D:D, Registo_Diario_Motorista!A:A = A39, Registo_Diario_Motorista!C:C = C39), """")"),"")</f>
        <v/>
      </c>
      <c r="L39" s="56">
        <f>IFERROR(__xludf.DUMMYFUNCTION("IF(C39=""Ida"", IFERROR(FILTER(Registo_Diario_Motorista!J:J, Registo_Diario_Motorista!A:A = A39, Registo_Diario_Motorista!C:C = C39), 0), IFERROR(FILTER(Registo_Diario_Motorista!I:I, Registo_Diario_Motorista!A:A = A39, Registo_Diario_Motorista!C:C = C39),"&amp;" 0))"),0.0)</f>
        <v>0</v>
      </c>
      <c r="Q39" s="53"/>
      <c r="R39" s="53"/>
      <c r="S39" s="61"/>
      <c r="T39" s="53"/>
      <c r="W39" s="53"/>
      <c r="X39" s="53"/>
      <c r="Y39" s="55"/>
      <c r="Z39" s="55"/>
      <c r="AA39" s="61"/>
      <c r="AB39" s="53"/>
      <c r="AE39" s="11"/>
      <c r="AF39" s="53"/>
      <c r="AH39" s="53"/>
      <c r="AJ39" s="61"/>
    </row>
    <row r="40" ht="15.75" customHeight="1">
      <c r="A40" s="51" t="str">
        <f>Registo_Diario_Motorista!A18</f>
        <v/>
      </c>
      <c r="C40" s="5" t="s">
        <v>22</v>
      </c>
      <c r="D40" s="53"/>
      <c r="E40" s="54" t="str">
        <f>Registo_Diario_Motorista!F19</f>
        <v/>
      </c>
      <c r="F40" s="55" t="str">
        <f>Registo_Diario_Motorista!G19</f>
        <v/>
      </c>
      <c r="G40" s="17">
        <f>IFERROR(__xludf.DUMMYFUNCTION("IFERROR(FILTER(Registo_Diario_Motorista!H:H, Registo_Diario_Motorista!A:A = A40, Registo_Diario_Motorista!C:C = C40), 0)"),0.0)</f>
        <v>0</v>
      </c>
      <c r="H40" s="17" t="str">
        <f>IFERROR(VLOOKUP(A40, Registo_Diario_Motorista!$A$2:$M$5001, 13, FALSE), "")</f>
        <v/>
      </c>
      <c r="I40" s="18">
        <f>IFERROR(VLOOKUP(H40, Tabela_ConsPort!D:E, 2, FALSE), 0)</f>
        <v>0</v>
      </c>
      <c r="J40" s="55">
        <f>IFERROR(__xludf.DUMMYFUNCTION("IFERROR(FILTER(Registo_Diario_Motorista!N:N, Registo_Diario_Motorista!A:A = A40, Registo_Diario_Motorista!C:C = C40), 0)"),0.0)</f>
        <v>0</v>
      </c>
      <c r="K40" s="12" t="str">
        <f>IFERROR(__xludf.DUMMYFUNCTION("IFERROR(FILTER(Registo_Diario_Motorista!D:D, Registo_Diario_Motorista!A:A = A40, Registo_Diario_Motorista!C:C = C40), """")"),"")</f>
        <v/>
      </c>
      <c r="L40" s="56">
        <f>IFERROR(__xludf.DUMMYFUNCTION("IF(C40=""Ida"", IFERROR(FILTER(Registo_Diario_Motorista!J:J, Registo_Diario_Motorista!A:A = A40, Registo_Diario_Motorista!C:C = C40), 0), IFERROR(FILTER(Registo_Diario_Motorista!I:I, Registo_Diario_Motorista!A:A = A40, Registo_Diario_Motorista!C:C = C40),"&amp;" 0))"),0.0)</f>
        <v>0</v>
      </c>
      <c r="Q40" s="53"/>
      <c r="R40" s="53"/>
      <c r="S40" s="61"/>
      <c r="T40" s="53"/>
      <c r="W40" s="53"/>
      <c r="X40" s="53"/>
      <c r="Y40" s="55"/>
      <c r="Z40" s="55"/>
      <c r="AA40" s="61"/>
      <c r="AB40" s="53"/>
      <c r="AE40" s="11"/>
      <c r="AF40" s="53"/>
      <c r="AH40" s="53"/>
      <c r="AJ40" s="61"/>
    </row>
    <row r="41" ht="15.75" customHeight="1">
      <c r="A41" s="55"/>
      <c r="C41" s="5" t="s">
        <v>22</v>
      </c>
      <c r="D41" s="53"/>
      <c r="E41" s="54" t="str">
        <f>Registo_Diario_Motorista!F20</f>
        <v/>
      </c>
      <c r="F41" s="55" t="str">
        <f>Registo_Diario_Motorista!G20</f>
        <v/>
      </c>
      <c r="G41" s="17">
        <f>IFERROR(__xludf.DUMMYFUNCTION("IFERROR(FILTER(Registo_Diario_Motorista!H:H, Registo_Diario_Motorista!A:A = A41, Registo_Diario_Motorista!C:C = C41), 0)"),0.0)</f>
        <v>0</v>
      </c>
      <c r="H41" s="17" t="str">
        <f>IFERROR(VLOOKUP(A41, Registo_Diario_Motorista!$A$2:$M$5001, 13, FALSE), "")</f>
        <v/>
      </c>
      <c r="I41" s="18">
        <f>IFERROR(VLOOKUP(H41, Tabela_ConsPort!D:E, 2, FALSE), 0)</f>
        <v>0</v>
      </c>
      <c r="J41" s="55">
        <f>IFERROR(__xludf.DUMMYFUNCTION("IFERROR(FILTER(Registo_Diario_Motorista!N:N, Registo_Diario_Motorista!A:A = A41, Registo_Diario_Motorista!C:C = C41), 0)"),0.0)</f>
        <v>0</v>
      </c>
      <c r="K41" s="12" t="str">
        <f>IFERROR(__xludf.DUMMYFUNCTION("IFERROR(FILTER(Registo_Diario_Motorista!D:D, Registo_Diario_Motorista!A:A = A41, Registo_Diario_Motorista!C:C = C41), """")"),"")</f>
        <v/>
      </c>
      <c r="L41" s="56">
        <f>IFERROR(__xludf.DUMMYFUNCTION("IF(C41=""Ida"", IFERROR(FILTER(Registo_Diario_Motorista!J:J, Registo_Diario_Motorista!A:A = A41, Registo_Diario_Motorista!C:C = C41), 0), IFERROR(FILTER(Registo_Diario_Motorista!I:I, Registo_Diario_Motorista!A:A = A41, Registo_Diario_Motorista!C:C = C41),"&amp;" 0))"),0.0)</f>
        <v>0</v>
      </c>
      <c r="Q41" s="53"/>
      <c r="R41" s="53"/>
      <c r="S41" s="61"/>
      <c r="T41" s="53"/>
      <c r="W41" s="53"/>
      <c r="X41" s="53"/>
      <c r="Y41" s="55"/>
      <c r="Z41" s="55"/>
      <c r="AA41" s="61"/>
      <c r="AB41" s="53"/>
      <c r="AE41" s="11"/>
      <c r="AF41" s="53"/>
      <c r="AH41" s="53"/>
      <c r="AJ41" s="61"/>
    </row>
    <row r="42" ht="15.75" customHeight="1">
      <c r="A42" s="55"/>
      <c r="C42" s="5" t="s">
        <v>22</v>
      </c>
      <c r="D42" s="53"/>
      <c r="E42" s="54" t="str">
        <f>Registo_Diario_Motorista!F21</f>
        <v/>
      </c>
      <c r="F42" s="55" t="str">
        <f>Registo_Diario_Motorista!G21</f>
        <v/>
      </c>
      <c r="G42" s="17">
        <f>IFERROR(__xludf.DUMMYFUNCTION("IFERROR(FILTER(Registo_Diario_Motorista!H:H, Registo_Diario_Motorista!A:A = A42, Registo_Diario_Motorista!C:C = C42), 0)"),0.0)</f>
        <v>0</v>
      </c>
      <c r="H42" s="17" t="str">
        <f>IFERROR(VLOOKUP(A42, Registo_Diario_Motorista!$A$2:$M$5001, 13, FALSE), "")</f>
        <v/>
      </c>
      <c r="I42" s="18">
        <f>IFERROR(VLOOKUP(H42, Tabela_ConsPort!D:E, 2, FALSE), 0)</f>
        <v>0</v>
      </c>
      <c r="J42" s="55">
        <f>IFERROR(__xludf.DUMMYFUNCTION("IFERROR(FILTER(Registo_Diario_Motorista!N:N, Registo_Diario_Motorista!A:A = A42, Registo_Diario_Motorista!C:C = C42), 0)"),0.0)</f>
        <v>0</v>
      </c>
      <c r="K42" s="12" t="str">
        <f>IFERROR(__xludf.DUMMYFUNCTION("IFERROR(FILTER(Registo_Diario_Motorista!D:D, Registo_Diario_Motorista!A:A = A42, Registo_Diario_Motorista!C:C = C42), """")"),"")</f>
        <v/>
      </c>
      <c r="L42" s="56">
        <f>IFERROR(__xludf.DUMMYFUNCTION("IF(C42=""Ida"", IFERROR(FILTER(Registo_Diario_Motorista!J:J, Registo_Diario_Motorista!A:A = A42, Registo_Diario_Motorista!C:C = C42), 0), IFERROR(FILTER(Registo_Diario_Motorista!I:I, Registo_Diario_Motorista!A:A = A42, Registo_Diario_Motorista!C:C = C42),"&amp;" 0))"),0.0)</f>
        <v>0</v>
      </c>
      <c r="Q42" s="53"/>
      <c r="R42" s="53"/>
      <c r="S42" s="61"/>
      <c r="T42" s="53"/>
      <c r="W42" s="53"/>
      <c r="X42" s="53"/>
      <c r="Y42" s="55"/>
      <c r="Z42" s="55"/>
      <c r="AA42" s="61"/>
      <c r="AB42" s="53"/>
      <c r="AE42" s="11"/>
      <c r="AF42" s="53"/>
      <c r="AH42" s="53"/>
      <c r="AJ42" s="61"/>
    </row>
    <row r="43" ht="15.75" customHeight="1">
      <c r="A43" s="55"/>
      <c r="C43" s="5" t="s">
        <v>22</v>
      </c>
      <c r="D43" s="53"/>
      <c r="E43" s="54" t="str">
        <f>Registo_Diario_Motorista!F22</f>
        <v/>
      </c>
      <c r="F43" s="55" t="str">
        <f>Registo_Diario_Motorista!G22</f>
        <v/>
      </c>
      <c r="G43" s="17">
        <f>IFERROR(__xludf.DUMMYFUNCTION("IFERROR(FILTER(Registo_Diario_Motorista!H:H, Registo_Diario_Motorista!A:A = A43, Registo_Diario_Motorista!C:C = C43), 0)"),0.0)</f>
        <v>0</v>
      </c>
      <c r="H43" s="17" t="str">
        <f>IFERROR(VLOOKUP(A43, Registo_Diario_Motorista!$A$2:$M$5001, 13, FALSE), "")</f>
        <v/>
      </c>
      <c r="I43" s="18">
        <f>IFERROR(VLOOKUP(H43, Tabela_ConsPort!D:E, 2, FALSE), 0)</f>
        <v>0</v>
      </c>
      <c r="J43" s="55">
        <f>IFERROR(__xludf.DUMMYFUNCTION("IFERROR(FILTER(Registo_Diario_Motorista!N:N, Registo_Diario_Motorista!A:A = A43, Registo_Diario_Motorista!C:C = C43), 0)"),0.0)</f>
        <v>0</v>
      </c>
      <c r="K43" s="12" t="str">
        <f>IFERROR(__xludf.DUMMYFUNCTION("IFERROR(FILTER(Registo_Diario_Motorista!D:D, Registo_Diario_Motorista!A:A = A43, Registo_Diario_Motorista!C:C = C43), """")"),"")</f>
        <v/>
      </c>
      <c r="L43" s="56">
        <f>IFERROR(__xludf.DUMMYFUNCTION("IF(C43=""Ida"", IFERROR(FILTER(Registo_Diario_Motorista!J:J, Registo_Diario_Motorista!A:A = A43, Registo_Diario_Motorista!C:C = C43), 0), IFERROR(FILTER(Registo_Diario_Motorista!I:I, Registo_Diario_Motorista!A:A = A43, Registo_Diario_Motorista!C:C = C43),"&amp;" 0))"),0.0)</f>
        <v>0</v>
      </c>
      <c r="Q43" s="53"/>
      <c r="R43" s="53"/>
      <c r="S43" s="61"/>
      <c r="T43" s="53"/>
      <c r="W43" s="53"/>
      <c r="X43" s="53"/>
      <c r="Y43" s="55"/>
      <c r="Z43" s="55"/>
      <c r="AA43" s="61"/>
      <c r="AB43" s="53"/>
      <c r="AE43" s="11"/>
      <c r="AF43" s="53"/>
      <c r="AH43" s="53"/>
      <c r="AJ43" s="61"/>
    </row>
    <row r="44" ht="15.75" customHeight="1">
      <c r="A44" s="55"/>
      <c r="C44" s="5" t="s">
        <v>22</v>
      </c>
      <c r="D44" s="53"/>
      <c r="E44" s="54" t="str">
        <f>Registo_Diario_Motorista!F23</f>
        <v/>
      </c>
      <c r="F44" s="55" t="str">
        <f>Registo_Diario_Motorista!G23</f>
        <v/>
      </c>
      <c r="G44" s="17">
        <f>IFERROR(__xludf.DUMMYFUNCTION("IFERROR(FILTER(Registo_Diario_Motorista!H:H, Registo_Diario_Motorista!A:A = A44, Registo_Diario_Motorista!C:C = C44), 0)"),0.0)</f>
        <v>0</v>
      </c>
      <c r="H44" s="17" t="str">
        <f>IFERROR(VLOOKUP(A44, Registo_Diario_Motorista!$A$2:$M$5001, 13, FALSE), "")</f>
        <v/>
      </c>
      <c r="I44" s="18">
        <f>IFERROR(VLOOKUP(H44, Tabela_ConsPort!D:E, 2, FALSE), 0)</f>
        <v>0</v>
      </c>
      <c r="J44" s="55">
        <f>IFERROR(__xludf.DUMMYFUNCTION("IFERROR(FILTER(Registo_Diario_Motorista!N:N, Registo_Diario_Motorista!A:A = A44, Registo_Diario_Motorista!C:C = C44), 0)"),0.0)</f>
        <v>0</v>
      </c>
      <c r="K44" s="12" t="str">
        <f>IFERROR(__xludf.DUMMYFUNCTION("IFERROR(FILTER(Registo_Diario_Motorista!D:D, Registo_Diario_Motorista!A:A = A44, Registo_Diario_Motorista!C:C = C44), """")"),"")</f>
        <v/>
      </c>
      <c r="L44" s="56">
        <f>IFERROR(__xludf.DUMMYFUNCTION("IF(C44=""Ida"", IFERROR(FILTER(Registo_Diario_Motorista!J:J, Registo_Diario_Motorista!A:A = A44, Registo_Diario_Motorista!C:C = C44), 0), IFERROR(FILTER(Registo_Diario_Motorista!I:I, Registo_Diario_Motorista!A:A = A44, Registo_Diario_Motorista!C:C = C44),"&amp;" 0))"),0.0)</f>
        <v>0</v>
      </c>
      <c r="Q44" s="53"/>
      <c r="R44" s="53"/>
      <c r="S44" s="61"/>
      <c r="T44" s="53"/>
      <c r="W44" s="53"/>
      <c r="X44" s="53"/>
      <c r="Y44" s="55"/>
      <c r="Z44" s="55"/>
      <c r="AA44" s="61"/>
      <c r="AB44" s="53"/>
      <c r="AE44" s="11"/>
      <c r="AF44" s="53"/>
      <c r="AH44" s="53"/>
      <c r="AJ44" s="61"/>
    </row>
    <row r="45" ht="15.75" customHeight="1">
      <c r="A45" s="55"/>
      <c r="C45" s="61"/>
      <c r="D45" s="53"/>
      <c r="E45" s="54"/>
      <c r="F45" s="55"/>
      <c r="H45" s="17" t="str">
        <f>IFERROR(VLOOKUP(A45, Registo_Diario_Motorista!$A$2:$M$5001, 13, FALSE), "")</f>
        <v/>
      </c>
      <c r="J45" s="62"/>
      <c r="K45" s="12" t="s">
        <v>19</v>
      </c>
      <c r="L45" s="63"/>
      <c r="Q45" s="53"/>
      <c r="R45" s="53"/>
      <c r="S45" s="61"/>
      <c r="T45" s="53"/>
      <c r="W45" s="53"/>
      <c r="X45" s="53"/>
      <c r="Y45" s="55"/>
      <c r="Z45" s="55"/>
      <c r="AA45" s="61"/>
      <c r="AB45" s="53"/>
      <c r="AE45" s="11"/>
      <c r="AF45" s="53"/>
      <c r="AH45" s="53"/>
      <c r="AJ45" s="61"/>
    </row>
    <row r="46" ht="15.75" customHeight="1">
      <c r="A46" s="55"/>
      <c r="C46" s="61"/>
      <c r="D46" s="53"/>
      <c r="E46" s="54"/>
      <c r="F46" s="55"/>
      <c r="H46" s="17" t="str">
        <f>IFERROR(VLOOKUP(A46, Registo_Diario_Motorista!$A$2:$M$5001, 13, FALSE), "")</f>
        <v/>
      </c>
      <c r="J46" s="62"/>
      <c r="K46" s="12" t="s">
        <v>19</v>
      </c>
      <c r="L46" s="63"/>
      <c r="Q46" s="53"/>
      <c r="R46" s="53"/>
      <c r="S46" s="61"/>
      <c r="T46" s="53"/>
      <c r="W46" s="53"/>
      <c r="X46" s="53"/>
      <c r="Y46" s="55"/>
      <c r="Z46" s="55"/>
      <c r="AA46" s="61"/>
      <c r="AB46" s="53"/>
      <c r="AE46" s="11"/>
      <c r="AF46" s="53"/>
      <c r="AH46" s="53"/>
      <c r="AJ46" s="61"/>
    </row>
    <row r="47" ht="15.75" customHeight="1">
      <c r="A47" s="55"/>
      <c r="C47" s="61"/>
      <c r="D47" s="53"/>
      <c r="E47" s="54"/>
      <c r="F47" s="55"/>
      <c r="H47" s="17" t="str">
        <f>IFERROR(VLOOKUP(A47, Registo_Diario_Motorista!$A$2:$M$5001, 13, FALSE), "")</f>
        <v/>
      </c>
      <c r="J47" s="62"/>
      <c r="K47" s="12" t="s">
        <v>19</v>
      </c>
      <c r="L47" s="63"/>
      <c r="Q47" s="53"/>
      <c r="R47" s="53"/>
      <c r="S47" s="61"/>
      <c r="T47" s="53"/>
      <c r="W47" s="53"/>
      <c r="X47" s="53"/>
      <c r="Y47" s="55"/>
      <c r="Z47" s="55"/>
      <c r="AA47" s="61"/>
      <c r="AB47" s="53"/>
      <c r="AE47" s="11"/>
      <c r="AF47" s="53"/>
      <c r="AH47" s="53"/>
      <c r="AJ47" s="61"/>
    </row>
    <row r="48" ht="15.75" customHeight="1">
      <c r="A48" s="55"/>
      <c r="C48" s="61"/>
      <c r="D48" s="53"/>
      <c r="E48" s="54"/>
      <c r="F48" s="55"/>
      <c r="H48" s="17" t="str">
        <f>IFERROR(VLOOKUP(A48, Registo_Diario_Motorista!$A$2:$M$5001, 13, FALSE), "")</f>
        <v/>
      </c>
      <c r="J48" s="62"/>
      <c r="K48" s="12" t="s">
        <v>19</v>
      </c>
      <c r="L48" s="63"/>
      <c r="Q48" s="53"/>
      <c r="R48" s="53"/>
      <c r="S48" s="61"/>
      <c r="T48" s="53"/>
      <c r="W48" s="53"/>
      <c r="X48" s="53"/>
      <c r="Y48" s="55"/>
      <c r="Z48" s="55"/>
      <c r="AA48" s="61"/>
      <c r="AB48" s="53"/>
      <c r="AE48" s="11"/>
      <c r="AF48" s="53"/>
      <c r="AH48" s="53"/>
      <c r="AJ48" s="61"/>
    </row>
    <row r="49" ht="15.75" customHeight="1">
      <c r="A49" s="55"/>
      <c r="C49" s="61"/>
      <c r="D49" s="53"/>
      <c r="E49" s="54"/>
      <c r="F49" s="55"/>
      <c r="H49" s="17" t="str">
        <f>IFERROR(VLOOKUP(A49, Registo_Diario_Motorista!$A$2:$M$5001, 13, FALSE), "")</f>
        <v/>
      </c>
      <c r="J49" s="62"/>
      <c r="K49" s="12" t="s">
        <v>19</v>
      </c>
      <c r="L49" s="63"/>
      <c r="Q49" s="53"/>
      <c r="R49" s="53"/>
      <c r="S49" s="61"/>
      <c r="T49" s="53"/>
      <c r="W49" s="53"/>
      <c r="X49" s="53"/>
      <c r="Y49" s="55"/>
      <c r="Z49" s="55"/>
      <c r="AA49" s="61"/>
      <c r="AB49" s="53"/>
      <c r="AE49" s="11"/>
      <c r="AF49" s="53"/>
      <c r="AH49" s="53"/>
      <c r="AJ49" s="61"/>
    </row>
    <row r="50" ht="15.75" customHeight="1">
      <c r="A50" s="55"/>
      <c r="C50" s="61"/>
      <c r="D50" s="53"/>
      <c r="E50" s="54"/>
      <c r="F50" s="55"/>
      <c r="H50" s="17" t="str">
        <f>IFERROR(VLOOKUP(A50, Registo_Diario_Motorista!$A$2:$M$5001, 13, FALSE), "")</f>
        <v/>
      </c>
      <c r="J50" s="62"/>
      <c r="K50" s="12" t="s">
        <v>19</v>
      </c>
      <c r="L50" s="63"/>
      <c r="Q50" s="53"/>
      <c r="R50" s="53"/>
      <c r="S50" s="61"/>
      <c r="T50" s="53"/>
      <c r="W50" s="53"/>
      <c r="X50" s="53"/>
      <c r="Y50" s="55"/>
      <c r="Z50" s="55"/>
      <c r="AA50" s="61"/>
      <c r="AB50" s="53"/>
      <c r="AE50" s="11"/>
      <c r="AF50" s="53"/>
      <c r="AH50" s="53"/>
      <c r="AJ50" s="61"/>
    </row>
    <row r="51" ht="15.75" customHeight="1">
      <c r="A51" s="55"/>
      <c r="C51" s="61"/>
      <c r="D51" s="53"/>
      <c r="E51" s="54"/>
      <c r="F51" s="55"/>
      <c r="H51" s="17" t="str">
        <f>IFERROR(VLOOKUP(A51, Registo_Diario_Motorista!$A$2:$M$5001, 13, FALSE), "")</f>
        <v/>
      </c>
      <c r="J51" s="62"/>
      <c r="K51" s="12" t="s">
        <v>19</v>
      </c>
      <c r="L51" s="63"/>
      <c r="Q51" s="53"/>
      <c r="R51" s="53"/>
      <c r="S51" s="61"/>
      <c r="T51" s="53"/>
      <c r="W51" s="53"/>
      <c r="X51" s="53"/>
      <c r="Y51" s="55"/>
      <c r="Z51" s="55"/>
      <c r="AA51" s="61"/>
      <c r="AB51" s="53"/>
      <c r="AE51" s="11"/>
      <c r="AF51" s="53"/>
      <c r="AH51" s="53"/>
      <c r="AJ51" s="61"/>
    </row>
    <row r="52" ht="15.75" customHeight="1">
      <c r="A52" s="55"/>
      <c r="C52" s="61"/>
      <c r="D52" s="53"/>
      <c r="E52" s="54"/>
      <c r="F52" s="55"/>
      <c r="H52" s="17" t="str">
        <f>IFERROR(VLOOKUP(A52, Registo_Diario_Motorista!$A$2:$M$5001, 13, FALSE), "")</f>
        <v/>
      </c>
      <c r="J52" s="62"/>
      <c r="K52" s="12" t="s">
        <v>19</v>
      </c>
      <c r="L52" s="63"/>
      <c r="Q52" s="53"/>
      <c r="R52" s="53"/>
      <c r="S52" s="61"/>
      <c r="T52" s="53"/>
      <c r="W52" s="53"/>
      <c r="X52" s="53"/>
      <c r="Y52" s="55"/>
      <c r="Z52" s="55"/>
      <c r="AA52" s="61"/>
      <c r="AB52" s="53"/>
      <c r="AE52" s="11"/>
      <c r="AF52" s="53"/>
      <c r="AH52" s="53"/>
      <c r="AJ52" s="61"/>
    </row>
    <row r="53" ht="15.75" customHeight="1">
      <c r="A53" s="55"/>
      <c r="C53" s="61"/>
      <c r="D53" s="53"/>
      <c r="E53" s="54"/>
      <c r="F53" s="55"/>
      <c r="H53" s="17" t="str">
        <f>IFERROR(VLOOKUP(A53, Registo_Diario_Motorista!$A$2:$M$5001, 13, FALSE), "")</f>
        <v/>
      </c>
      <c r="J53" s="62"/>
      <c r="K53" s="12" t="s">
        <v>19</v>
      </c>
      <c r="L53" s="63"/>
      <c r="Q53" s="53"/>
      <c r="R53" s="53"/>
      <c r="S53" s="61"/>
      <c r="T53" s="53"/>
      <c r="W53" s="53"/>
      <c r="X53" s="53"/>
      <c r="Y53" s="55"/>
      <c r="Z53" s="55"/>
      <c r="AA53" s="61"/>
      <c r="AB53" s="53"/>
      <c r="AE53" s="11"/>
      <c r="AF53" s="53"/>
      <c r="AH53" s="53"/>
      <c r="AJ53" s="61"/>
    </row>
    <row r="54" ht="15.75" customHeight="1">
      <c r="A54" s="55"/>
      <c r="C54" s="61"/>
      <c r="D54" s="53"/>
      <c r="E54" s="54"/>
      <c r="F54" s="55"/>
      <c r="H54" s="17" t="str">
        <f>IFERROR(VLOOKUP(A54, Registo_Diario_Motorista!$A$2:$M$5001, 13, FALSE), "")</f>
        <v/>
      </c>
      <c r="J54" s="62"/>
      <c r="K54" s="12" t="s">
        <v>19</v>
      </c>
      <c r="L54" s="63"/>
      <c r="Q54" s="53"/>
      <c r="R54" s="53"/>
      <c r="S54" s="61"/>
      <c r="T54" s="53"/>
      <c r="W54" s="53"/>
      <c r="X54" s="53"/>
      <c r="Y54" s="55"/>
      <c r="Z54" s="55"/>
      <c r="AA54" s="61"/>
      <c r="AB54" s="53"/>
      <c r="AE54" s="11"/>
      <c r="AF54" s="53"/>
      <c r="AH54" s="53"/>
      <c r="AJ54" s="61"/>
    </row>
    <row r="55" ht="15.75" customHeight="1">
      <c r="A55" s="55"/>
      <c r="C55" s="61"/>
      <c r="D55" s="53"/>
      <c r="E55" s="54"/>
      <c r="F55" s="55"/>
      <c r="H55" s="17" t="str">
        <f>IFERROR(VLOOKUP(A55, Registo_Diario_Motorista!$A$2:$M$5001, 13, FALSE), "")</f>
        <v/>
      </c>
      <c r="J55" s="62"/>
      <c r="K55" s="12" t="s">
        <v>19</v>
      </c>
      <c r="L55" s="63"/>
      <c r="Q55" s="53"/>
      <c r="R55" s="53"/>
      <c r="S55" s="61"/>
      <c r="T55" s="53"/>
      <c r="W55" s="53"/>
      <c r="X55" s="53"/>
      <c r="Y55" s="55"/>
      <c r="Z55" s="55"/>
      <c r="AA55" s="61"/>
      <c r="AB55" s="53"/>
      <c r="AE55" s="11"/>
      <c r="AF55" s="53"/>
      <c r="AH55" s="53"/>
      <c r="AJ55" s="61"/>
    </row>
    <row r="56" ht="15.75" customHeight="1">
      <c r="A56" s="55"/>
      <c r="C56" s="61"/>
      <c r="D56" s="53"/>
      <c r="E56" s="54"/>
      <c r="F56" s="55"/>
      <c r="H56" s="17" t="str">
        <f>IFERROR(VLOOKUP(A56, Registo_Diario_Motorista!$A$2:$M$5001, 13, FALSE), "")</f>
        <v/>
      </c>
      <c r="J56" s="62"/>
      <c r="K56" s="12" t="s">
        <v>19</v>
      </c>
      <c r="L56" s="63"/>
      <c r="Q56" s="53"/>
      <c r="R56" s="53"/>
      <c r="S56" s="61"/>
      <c r="T56" s="53"/>
      <c r="W56" s="53"/>
      <c r="X56" s="53"/>
      <c r="Y56" s="55"/>
      <c r="Z56" s="55"/>
      <c r="AA56" s="61"/>
      <c r="AB56" s="53"/>
      <c r="AE56" s="11"/>
      <c r="AF56" s="53"/>
      <c r="AH56" s="53"/>
      <c r="AJ56" s="61"/>
    </row>
    <row r="57" ht="15.75" customHeight="1">
      <c r="A57" s="55"/>
      <c r="C57" s="61"/>
      <c r="D57" s="53"/>
      <c r="E57" s="54"/>
      <c r="F57" s="55"/>
      <c r="H57" s="17" t="str">
        <f>IFERROR(VLOOKUP(A57, Registo_Diario_Motorista!$A$2:$M$5001, 13, FALSE), "")</f>
        <v/>
      </c>
      <c r="J57" s="62"/>
      <c r="K57" s="12" t="s">
        <v>19</v>
      </c>
      <c r="L57" s="63"/>
      <c r="Q57" s="53"/>
      <c r="R57" s="53"/>
      <c r="S57" s="61"/>
      <c r="T57" s="53"/>
      <c r="W57" s="53"/>
      <c r="X57" s="53"/>
      <c r="Y57" s="55"/>
      <c r="Z57" s="55"/>
      <c r="AA57" s="61"/>
      <c r="AB57" s="53"/>
      <c r="AE57" s="11"/>
      <c r="AF57" s="53"/>
      <c r="AH57" s="53"/>
      <c r="AJ57" s="61"/>
    </row>
    <row r="58" ht="15.75" customHeight="1">
      <c r="A58" s="55"/>
      <c r="C58" s="61"/>
      <c r="D58" s="53"/>
      <c r="E58" s="54"/>
      <c r="F58" s="55"/>
      <c r="H58" s="17" t="str">
        <f>IFERROR(VLOOKUP(A58, Registo_Diario_Motorista!$A$2:$M$5001, 13, FALSE), "")</f>
        <v/>
      </c>
      <c r="J58" s="62"/>
      <c r="K58" s="12" t="s">
        <v>19</v>
      </c>
      <c r="L58" s="63"/>
      <c r="Q58" s="53"/>
      <c r="R58" s="53"/>
      <c r="S58" s="61"/>
      <c r="T58" s="53"/>
      <c r="W58" s="53"/>
      <c r="X58" s="53"/>
      <c r="Y58" s="55"/>
      <c r="Z58" s="55"/>
      <c r="AA58" s="61"/>
      <c r="AB58" s="53"/>
      <c r="AE58" s="11"/>
      <c r="AF58" s="53"/>
      <c r="AH58" s="53"/>
      <c r="AJ58" s="61"/>
    </row>
    <row r="59" ht="15.75" customHeight="1">
      <c r="A59" s="55"/>
      <c r="C59" s="61"/>
      <c r="D59" s="53"/>
      <c r="E59" s="54"/>
      <c r="F59" s="55"/>
      <c r="H59" s="17" t="str">
        <f>IFERROR(VLOOKUP(A59, Registo_Diario_Motorista!$A$2:$M$5001, 13, FALSE), "")</f>
        <v/>
      </c>
      <c r="J59" s="62"/>
      <c r="K59" s="12" t="s">
        <v>19</v>
      </c>
      <c r="L59" s="63"/>
      <c r="Q59" s="53"/>
      <c r="R59" s="53"/>
      <c r="S59" s="61"/>
      <c r="T59" s="53"/>
      <c r="W59" s="53"/>
      <c r="X59" s="53"/>
      <c r="Y59" s="55"/>
      <c r="Z59" s="55"/>
      <c r="AA59" s="61"/>
      <c r="AB59" s="53"/>
      <c r="AE59" s="11"/>
      <c r="AF59" s="53"/>
      <c r="AH59" s="53"/>
      <c r="AJ59" s="61"/>
    </row>
    <row r="60" ht="15.75" customHeight="1">
      <c r="A60" s="55"/>
      <c r="C60" s="61"/>
      <c r="D60" s="53"/>
      <c r="E60" s="54"/>
      <c r="F60" s="55"/>
      <c r="H60" s="17" t="str">
        <f>IFERROR(VLOOKUP(A60, Registo_Diario_Motorista!$A$2:$M$5001, 13, FALSE), "")</f>
        <v/>
      </c>
      <c r="J60" s="62"/>
      <c r="K60" s="12" t="s">
        <v>19</v>
      </c>
      <c r="L60" s="63"/>
      <c r="Q60" s="53"/>
      <c r="R60" s="53"/>
      <c r="S60" s="61"/>
      <c r="T60" s="53"/>
      <c r="W60" s="53"/>
      <c r="X60" s="53"/>
      <c r="Y60" s="55"/>
      <c r="Z60" s="55"/>
      <c r="AA60" s="61"/>
      <c r="AB60" s="53"/>
      <c r="AE60" s="11"/>
      <c r="AF60" s="53"/>
      <c r="AH60" s="53"/>
      <c r="AJ60" s="61"/>
    </row>
    <row r="61" ht="15.75" customHeight="1">
      <c r="A61" s="55"/>
      <c r="C61" s="61"/>
      <c r="D61" s="53"/>
      <c r="E61" s="54"/>
      <c r="F61" s="55"/>
      <c r="H61" s="17" t="str">
        <f>IFERROR(VLOOKUP(A61, Registo_Diario_Motorista!$A$2:$M$5001, 13, FALSE), "")</f>
        <v/>
      </c>
      <c r="J61" s="62"/>
      <c r="K61" s="12" t="s">
        <v>19</v>
      </c>
      <c r="L61" s="63"/>
      <c r="Q61" s="53"/>
      <c r="R61" s="53"/>
      <c r="S61" s="61"/>
      <c r="T61" s="53"/>
      <c r="W61" s="53"/>
      <c r="X61" s="53"/>
      <c r="Y61" s="55"/>
      <c r="Z61" s="55"/>
      <c r="AA61" s="61"/>
      <c r="AB61" s="53"/>
      <c r="AE61" s="11"/>
      <c r="AF61" s="53"/>
      <c r="AH61" s="53"/>
      <c r="AJ61" s="61"/>
    </row>
    <row r="62" ht="15.75" customHeight="1">
      <c r="A62" s="55"/>
      <c r="C62" s="61"/>
      <c r="D62" s="53"/>
      <c r="E62" s="54"/>
      <c r="F62" s="55"/>
      <c r="H62" s="17" t="str">
        <f>IFERROR(VLOOKUP(A62, Registo_Diario_Motorista!$A$2:$M$5001, 13, FALSE), "")</f>
        <v/>
      </c>
      <c r="J62" s="62"/>
      <c r="K62" s="12" t="s">
        <v>19</v>
      </c>
      <c r="L62" s="63"/>
      <c r="Q62" s="53"/>
      <c r="R62" s="53"/>
      <c r="S62" s="61"/>
      <c r="T62" s="53"/>
      <c r="W62" s="53"/>
      <c r="X62" s="53"/>
      <c r="Y62" s="55"/>
      <c r="Z62" s="55"/>
      <c r="AA62" s="61"/>
      <c r="AB62" s="53"/>
      <c r="AE62" s="11"/>
      <c r="AF62" s="53"/>
      <c r="AH62" s="53"/>
      <c r="AJ62" s="61"/>
    </row>
    <row r="63" ht="15.75" customHeight="1">
      <c r="A63" s="55"/>
      <c r="C63" s="61"/>
      <c r="D63" s="53"/>
      <c r="E63" s="54"/>
      <c r="F63" s="55"/>
      <c r="H63" s="17" t="str">
        <f>IFERROR(VLOOKUP(A63, Registo_Diario_Motorista!$A$2:$M$5001, 13, FALSE), "")</f>
        <v/>
      </c>
      <c r="J63" s="62"/>
      <c r="K63" s="12" t="s">
        <v>19</v>
      </c>
      <c r="L63" s="63"/>
      <c r="Q63" s="53"/>
      <c r="R63" s="53"/>
      <c r="S63" s="61"/>
      <c r="T63" s="53"/>
      <c r="W63" s="53"/>
      <c r="X63" s="53"/>
      <c r="Y63" s="55"/>
      <c r="Z63" s="55"/>
      <c r="AA63" s="61"/>
      <c r="AB63" s="53"/>
      <c r="AE63" s="11"/>
      <c r="AF63" s="53"/>
      <c r="AH63" s="53"/>
      <c r="AJ63" s="61"/>
    </row>
    <row r="64" ht="15.75" customHeight="1">
      <c r="A64" s="55"/>
      <c r="C64" s="61"/>
      <c r="D64" s="53"/>
      <c r="E64" s="54"/>
      <c r="F64" s="55"/>
      <c r="H64" s="17" t="str">
        <f>IFERROR(VLOOKUP(A64, Registo_Diario_Motorista!$A$2:$M$5001, 13, FALSE), "")</f>
        <v/>
      </c>
      <c r="J64" s="62"/>
      <c r="K64" s="12" t="s">
        <v>19</v>
      </c>
      <c r="L64" s="63"/>
      <c r="Q64" s="53"/>
      <c r="R64" s="53"/>
      <c r="S64" s="61"/>
      <c r="T64" s="53"/>
      <c r="W64" s="53"/>
      <c r="X64" s="53"/>
      <c r="Y64" s="55"/>
      <c r="Z64" s="55"/>
      <c r="AA64" s="61"/>
      <c r="AB64" s="53"/>
      <c r="AE64" s="11"/>
      <c r="AF64" s="53"/>
      <c r="AH64" s="53"/>
      <c r="AJ64" s="61"/>
    </row>
    <row r="65" ht="15.75" customHeight="1">
      <c r="A65" s="55"/>
      <c r="C65" s="61"/>
      <c r="D65" s="53"/>
      <c r="E65" s="54"/>
      <c r="F65" s="55"/>
      <c r="H65" s="17" t="str">
        <f>IFERROR(VLOOKUP(A65, Registo_Diario_Motorista!$A$2:$M$5001, 13, FALSE), "")</f>
        <v/>
      </c>
      <c r="J65" s="62"/>
      <c r="K65" s="12" t="s">
        <v>19</v>
      </c>
      <c r="L65" s="63"/>
      <c r="Q65" s="53"/>
      <c r="R65" s="53"/>
      <c r="S65" s="61"/>
      <c r="T65" s="53"/>
      <c r="W65" s="53"/>
      <c r="X65" s="53"/>
      <c r="Y65" s="55"/>
      <c r="Z65" s="55"/>
      <c r="AA65" s="61"/>
      <c r="AB65" s="53"/>
      <c r="AE65" s="11"/>
      <c r="AF65" s="53"/>
      <c r="AH65" s="53"/>
      <c r="AJ65" s="61"/>
    </row>
    <row r="66" ht="15.75" customHeight="1">
      <c r="A66" s="55"/>
      <c r="C66" s="61"/>
      <c r="D66" s="53"/>
      <c r="E66" s="54"/>
      <c r="F66" s="55"/>
      <c r="H66" s="17" t="str">
        <f>IFERROR(VLOOKUP(A66, Registo_Diario_Motorista!$A$2:$M$5001, 13, FALSE), "")</f>
        <v/>
      </c>
      <c r="J66" s="62"/>
      <c r="K66" s="12" t="s">
        <v>19</v>
      </c>
      <c r="L66" s="63"/>
      <c r="Q66" s="53"/>
      <c r="R66" s="53"/>
      <c r="S66" s="61"/>
      <c r="T66" s="53"/>
      <c r="W66" s="53"/>
      <c r="X66" s="53"/>
      <c r="Y66" s="55"/>
      <c r="Z66" s="55"/>
      <c r="AA66" s="61"/>
      <c r="AB66" s="53"/>
      <c r="AE66" s="11"/>
      <c r="AF66" s="53"/>
      <c r="AH66" s="53"/>
      <c r="AJ66" s="61"/>
    </row>
    <row r="67" ht="15.75" customHeight="1">
      <c r="A67" s="55"/>
      <c r="C67" s="61"/>
      <c r="D67" s="53"/>
      <c r="E67" s="54"/>
      <c r="F67" s="55"/>
      <c r="H67" s="17" t="str">
        <f>IFERROR(VLOOKUP(A67, Registo_Diario_Motorista!$A$2:$M$5001, 13, FALSE), "")</f>
        <v/>
      </c>
      <c r="J67" s="62"/>
      <c r="K67" s="12" t="s">
        <v>19</v>
      </c>
      <c r="L67" s="63"/>
      <c r="Q67" s="53"/>
      <c r="R67" s="53"/>
      <c r="S67" s="61"/>
      <c r="T67" s="53"/>
      <c r="W67" s="53"/>
      <c r="X67" s="53"/>
      <c r="Y67" s="55"/>
      <c r="Z67" s="55"/>
      <c r="AA67" s="61"/>
      <c r="AB67" s="53"/>
      <c r="AE67" s="11"/>
      <c r="AF67" s="53"/>
      <c r="AH67" s="53"/>
      <c r="AJ67" s="61"/>
    </row>
    <row r="68" ht="15.75" customHeight="1">
      <c r="A68" s="55"/>
      <c r="C68" s="61"/>
      <c r="D68" s="53"/>
      <c r="E68" s="54"/>
      <c r="F68" s="55"/>
      <c r="H68" s="17" t="str">
        <f>IFERROR(VLOOKUP(A68, Registo_Diario_Motorista!$A$2:$M$5001, 13, FALSE), "")</f>
        <v/>
      </c>
      <c r="J68" s="62"/>
      <c r="K68" s="12" t="s">
        <v>19</v>
      </c>
      <c r="L68" s="63"/>
      <c r="Q68" s="53"/>
      <c r="R68" s="53"/>
      <c r="S68" s="61"/>
      <c r="T68" s="53"/>
      <c r="W68" s="53"/>
      <c r="X68" s="53"/>
      <c r="Y68" s="55"/>
      <c r="Z68" s="55"/>
      <c r="AA68" s="61"/>
      <c r="AB68" s="53"/>
      <c r="AE68" s="11"/>
      <c r="AF68" s="53"/>
      <c r="AH68" s="53"/>
      <c r="AJ68" s="61"/>
    </row>
    <row r="69" ht="15.75" customHeight="1">
      <c r="A69" s="55"/>
      <c r="C69" s="61"/>
      <c r="D69" s="53"/>
      <c r="E69" s="54"/>
      <c r="F69" s="55"/>
      <c r="H69" s="17" t="str">
        <f>IFERROR(VLOOKUP(A69, Registo_Diario_Motorista!$A$2:$M$5001, 13, FALSE), "")</f>
        <v/>
      </c>
      <c r="J69" s="62"/>
      <c r="K69" s="12" t="s">
        <v>19</v>
      </c>
      <c r="L69" s="63"/>
      <c r="Q69" s="53"/>
      <c r="R69" s="53"/>
      <c r="S69" s="61"/>
      <c r="T69" s="53"/>
      <c r="W69" s="53"/>
      <c r="X69" s="53"/>
      <c r="Y69" s="55"/>
      <c r="Z69" s="55"/>
      <c r="AA69" s="61"/>
      <c r="AB69" s="53"/>
      <c r="AE69" s="11"/>
      <c r="AF69" s="53"/>
      <c r="AH69" s="53"/>
      <c r="AJ69" s="61"/>
    </row>
    <row r="70" ht="15.75" customHeight="1">
      <c r="A70" s="55"/>
      <c r="C70" s="61"/>
      <c r="D70" s="53"/>
      <c r="E70" s="54"/>
      <c r="F70" s="55"/>
      <c r="H70" s="17" t="str">
        <f>IFERROR(VLOOKUP(A70, Registo_Diario_Motorista!$A$2:$M$5001, 13, FALSE), "")</f>
        <v/>
      </c>
      <c r="J70" s="62"/>
      <c r="K70" s="55"/>
      <c r="L70" s="63"/>
      <c r="Q70" s="53"/>
      <c r="R70" s="53"/>
      <c r="S70" s="61"/>
      <c r="T70" s="53"/>
      <c r="W70" s="53"/>
      <c r="X70" s="53"/>
      <c r="Y70" s="55"/>
      <c r="Z70" s="55"/>
      <c r="AA70" s="61"/>
      <c r="AB70" s="53"/>
      <c r="AE70" s="11"/>
      <c r="AF70" s="53"/>
      <c r="AH70" s="53"/>
      <c r="AJ70" s="61"/>
    </row>
    <row r="71" ht="15.75" customHeight="1">
      <c r="A71" s="55"/>
      <c r="C71" s="61"/>
      <c r="D71" s="53"/>
      <c r="E71" s="54"/>
      <c r="F71" s="55"/>
      <c r="H71" s="17" t="str">
        <f>IFERROR(VLOOKUP(A71, Registo_Diario_Motorista!$A$2:$M$5001, 13, FALSE), "")</f>
        <v/>
      </c>
      <c r="J71" s="62"/>
      <c r="K71" s="55"/>
      <c r="L71" s="63"/>
      <c r="Q71" s="53"/>
      <c r="R71" s="53"/>
      <c r="S71" s="61"/>
      <c r="T71" s="53"/>
      <c r="W71" s="53"/>
      <c r="X71" s="53"/>
      <c r="Y71" s="55"/>
      <c r="Z71" s="55"/>
      <c r="AA71" s="61"/>
      <c r="AB71" s="53"/>
      <c r="AE71" s="11"/>
      <c r="AF71" s="53"/>
      <c r="AH71" s="53"/>
      <c r="AJ71" s="61"/>
    </row>
    <row r="72" ht="15.75" customHeight="1">
      <c r="A72" s="55"/>
      <c r="C72" s="61"/>
      <c r="D72" s="53"/>
      <c r="E72" s="54"/>
      <c r="F72" s="55"/>
      <c r="H72" s="17" t="str">
        <f>IFERROR(VLOOKUP(A72, Registo_Diario_Motorista!$A$2:$M$5001, 13, FALSE), "")</f>
        <v/>
      </c>
      <c r="J72" s="62"/>
      <c r="K72" s="55"/>
      <c r="L72" s="63"/>
      <c r="Q72" s="53"/>
      <c r="R72" s="53"/>
      <c r="S72" s="61"/>
      <c r="T72" s="53"/>
      <c r="W72" s="53"/>
      <c r="X72" s="53"/>
      <c r="Y72" s="55"/>
      <c r="Z72" s="55"/>
      <c r="AA72" s="61"/>
      <c r="AB72" s="53"/>
      <c r="AE72" s="11"/>
      <c r="AF72" s="53"/>
      <c r="AH72" s="53"/>
      <c r="AJ72" s="61"/>
    </row>
    <row r="73" ht="15.75" customHeight="1">
      <c r="A73" s="55"/>
      <c r="C73" s="61"/>
      <c r="D73" s="53"/>
      <c r="E73" s="54"/>
      <c r="F73" s="55"/>
      <c r="H73" s="17" t="str">
        <f>IFERROR(VLOOKUP(A73, Registo_Diario_Motorista!$A$2:$M$5001, 13, FALSE), "")</f>
        <v/>
      </c>
      <c r="J73" s="62"/>
      <c r="K73" s="55"/>
      <c r="L73" s="63"/>
      <c r="Q73" s="53"/>
      <c r="R73" s="53"/>
      <c r="S73" s="61"/>
      <c r="T73" s="53"/>
      <c r="W73" s="53"/>
      <c r="X73" s="53"/>
      <c r="Y73" s="55"/>
      <c r="Z73" s="55"/>
      <c r="AA73" s="61"/>
      <c r="AB73" s="53"/>
      <c r="AE73" s="11"/>
      <c r="AF73" s="53"/>
      <c r="AH73" s="53"/>
      <c r="AJ73" s="61"/>
    </row>
    <row r="74" ht="15.75" customHeight="1">
      <c r="A74" s="55"/>
      <c r="C74" s="61"/>
      <c r="D74" s="53"/>
      <c r="E74" s="54"/>
      <c r="F74" s="55"/>
      <c r="H74" s="17" t="str">
        <f>IFERROR(VLOOKUP(A74, Registo_Diario_Motorista!$A$2:$M$5001, 13, FALSE), "")</f>
        <v/>
      </c>
      <c r="J74" s="62"/>
      <c r="K74" s="55"/>
      <c r="L74" s="63"/>
      <c r="Q74" s="53"/>
      <c r="R74" s="53"/>
      <c r="S74" s="61"/>
      <c r="T74" s="53"/>
      <c r="W74" s="53"/>
      <c r="X74" s="53"/>
      <c r="Y74" s="55"/>
      <c r="Z74" s="55"/>
      <c r="AA74" s="61"/>
      <c r="AB74" s="53"/>
      <c r="AE74" s="11"/>
      <c r="AF74" s="53"/>
      <c r="AH74" s="53"/>
      <c r="AJ74" s="61"/>
    </row>
    <row r="75" ht="15.75" customHeight="1">
      <c r="A75" s="55"/>
      <c r="C75" s="61"/>
      <c r="D75" s="53"/>
      <c r="E75" s="54"/>
      <c r="F75" s="55"/>
      <c r="H75" s="17" t="str">
        <f>IFERROR(VLOOKUP(A75, Registo_Diario_Motorista!$A$2:$M$5001, 13, FALSE), "")</f>
        <v/>
      </c>
      <c r="J75" s="62"/>
      <c r="K75" s="55"/>
      <c r="L75" s="63"/>
      <c r="Q75" s="53"/>
      <c r="R75" s="53"/>
      <c r="S75" s="61"/>
      <c r="T75" s="53"/>
      <c r="W75" s="53"/>
      <c r="X75" s="53"/>
      <c r="Y75" s="55"/>
      <c r="Z75" s="55"/>
      <c r="AA75" s="61"/>
      <c r="AB75" s="53"/>
      <c r="AE75" s="11"/>
      <c r="AF75" s="53"/>
      <c r="AH75" s="53"/>
      <c r="AJ75" s="61"/>
    </row>
    <row r="76" ht="15.75" customHeight="1">
      <c r="A76" s="55"/>
      <c r="C76" s="61"/>
      <c r="D76" s="53"/>
      <c r="E76" s="54"/>
      <c r="F76" s="55"/>
      <c r="H76" s="17" t="str">
        <f>IFERROR(VLOOKUP(A76, Registo_Diario_Motorista!$A$2:$M$5001, 13, FALSE), "")</f>
        <v/>
      </c>
      <c r="J76" s="62"/>
      <c r="K76" s="55"/>
      <c r="L76" s="63"/>
      <c r="Q76" s="53"/>
      <c r="R76" s="53"/>
      <c r="S76" s="61"/>
      <c r="T76" s="53"/>
      <c r="W76" s="53"/>
      <c r="X76" s="53"/>
      <c r="Y76" s="55"/>
      <c r="Z76" s="55"/>
      <c r="AA76" s="61"/>
      <c r="AB76" s="53"/>
      <c r="AE76" s="11"/>
      <c r="AF76" s="53"/>
      <c r="AH76" s="53"/>
      <c r="AJ76" s="61"/>
    </row>
    <row r="77" ht="15.75" customHeight="1">
      <c r="A77" s="55"/>
      <c r="C77" s="61"/>
      <c r="D77" s="53"/>
      <c r="E77" s="54"/>
      <c r="F77" s="55"/>
      <c r="H77" s="17" t="str">
        <f>IFERROR(VLOOKUP(A77, Registo_Diario_Motorista!$A$2:$M$5001, 13, FALSE), "")</f>
        <v/>
      </c>
      <c r="J77" s="62"/>
      <c r="K77" s="55"/>
      <c r="L77" s="63"/>
      <c r="Q77" s="53"/>
      <c r="R77" s="53"/>
      <c r="S77" s="61"/>
      <c r="T77" s="53"/>
      <c r="W77" s="53"/>
      <c r="X77" s="53"/>
      <c r="Y77" s="55"/>
      <c r="Z77" s="55"/>
      <c r="AA77" s="61"/>
      <c r="AB77" s="53"/>
      <c r="AE77" s="11"/>
      <c r="AF77" s="53"/>
      <c r="AH77" s="53"/>
      <c r="AJ77" s="61"/>
    </row>
    <row r="78" ht="15.75" customHeight="1">
      <c r="A78" s="55"/>
      <c r="C78" s="61"/>
      <c r="D78" s="53"/>
      <c r="E78" s="54"/>
      <c r="F78" s="55"/>
      <c r="H78" s="17" t="str">
        <f>IFERROR(VLOOKUP(A78, Registo_Diario_Motorista!$A$2:$M$5001, 13, FALSE), "")</f>
        <v/>
      </c>
      <c r="J78" s="62"/>
      <c r="K78" s="55"/>
      <c r="L78" s="63"/>
      <c r="Q78" s="53"/>
      <c r="R78" s="53"/>
      <c r="S78" s="61"/>
      <c r="T78" s="53"/>
      <c r="W78" s="53"/>
      <c r="X78" s="53"/>
      <c r="Y78" s="55"/>
      <c r="Z78" s="55"/>
      <c r="AA78" s="61"/>
      <c r="AB78" s="53"/>
      <c r="AE78" s="11"/>
      <c r="AF78" s="53"/>
      <c r="AH78" s="53"/>
      <c r="AJ78" s="61"/>
    </row>
    <row r="79" ht="15.75" customHeight="1">
      <c r="A79" s="55"/>
      <c r="C79" s="61"/>
      <c r="D79" s="53"/>
      <c r="E79" s="54"/>
      <c r="F79" s="55"/>
      <c r="H79" s="17" t="str">
        <f>IFERROR(VLOOKUP(A79, Registo_Diario_Motorista!$A$2:$M$5001, 13, FALSE), "")</f>
        <v/>
      </c>
      <c r="J79" s="62"/>
      <c r="K79" s="55"/>
      <c r="L79" s="63"/>
      <c r="Q79" s="53"/>
      <c r="R79" s="53"/>
      <c r="S79" s="61"/>
      <c r="T79" s="53"/>
      <c r="W79" s="53"/>
      <c r="X79" s="53"/>
      <c r="Y79" s="55"/>
      <c r="Z79" s="55"/>
      <c r="AA79" s="61"/>
      <c r="AB79" s="53"/>
      <c r="AE79" s="11"/>
      <c r="AF79" s="53"/>
      <c r="AH79" s="53"/>
      <c r="AJ79" s="61"/>
    </row>
    <row r="80" ht="15.75" customHeight="1">
      <c r="A80" s="55"/>
      <c r="C80" s="61"/>
      <c r="D80" s="53"/>
      <c r="E80" s="54"/>
      <c r="F80" s="55"/>
      <c r="H80" s="17" t="str">
        <f>IFERROR(VLOOKUP(A80, Registo_Diario_Motorista!$A$2:$M$5001, 13, FALSE), "")</f>
        <v/>
      </c>
      <c r="J80" s="62"/>
      <c r="K80" s="55"/>
      <c r="L80" s="63"/>
      <c r="Q80" s="53"/>
      <c r="R80" s="53"/>
      <c r="S80" s="61"/>
      <c r="T80" s="53"/>
      <c r="W80" s="53"/>
      <c r="X80" s="53"/>
      <c r="Y80" s="55"/>
      <c r="Z80" s="55"/>
      <c r="AA80" s="61"/>
      <c r="AB80" s="53"/>
      <c r="AE80" s="11"/>
      <c r="AF80" s="53"/>
      <c r="AH80" s="53"/>
      <c r="AJ80" s="61"/>
    </row>
    <row r="81" ht="15.75" customHeight="1">
      <c r="A81" s="55"/>
      <c r="C81" s="61"/>
      <c r="D81" s="53"/>
      <c r="E81" s="54"/>
      <c r="F81" s="55"/>
      <c r="H81" s="17" t="str">
        <f>IFERROR(VLOOKUP(A81, Registo_Diario_Motorista!$A$2:$M$5001, 13, FALSE), "")</f>
        <v/>
      </c>
      <c r="J81" s="62"/>
      <c r="K81" s="55"/>
      <c r="L81" s="63"/>
      <c r="Q81" s="53"/>
      <c r="R81" s="53"/>
      <c r="S81" s="61"/>
      <c r="T81" s="53"/>
      <c r="W81" s="53"/>
      <c r="X81" s="53"/>
      <c r="Y81" s="55"/>
      <c r="Z81" s="55"/>
      <c r="AA81" s="61"/>
      <c r="AB81" s="53"/>
      <c r="AE81" s="11"/>
      <c r="AF81" s="53"/>
      <c r="AH81" s="53"/>
      <c r="AJ81" s="61"/>
    </row>
    <row r="82" ht="15.75" customHeight="1">
      <c r="A82" s="55"/>
      <c r="C82" s="61"/>
      <c r="D82" s="53"/>
      <c r="E82" s="54"/>
      <c r="F82" s="55"/>
      <c r="H82" s="17" t="str">
        <f>IFERROR(VLOOKUP(A82, Registo_Diario_Motorista!$A$2:$M$5001, 13, FALSE), "")</f>
        <v/>
      </c>
      <c r="J82" s="62"/>
      <c r="K82" s="55"/>
      <c r="L82" s="63"/>
      <c r="Q82" s="53"/>
      <c r="R82" s="53"/>
      <c r="S82" s="61"/>
      <c r="T82" s="53"/>
      <c r="W82" s="53"/>
      <c r="X82" s="53"/>
      <c r="Y82" s="55"/>
      <c r="Z82" s="55"/>
      <c r="AA82" s="61"/>
      <c r="AB82" s="53"/>
      <c r="AE82" s="11"/>
      <c r="AF82" s="53"/>
      <c r="AH82" s="53"/>
      <c r="AJ82" s="61"/>
    </row>
    <row r="83" ht="15.75" customHeight="1">
      <c r="A83" s="55"/>
      <c r="C83" s="61"/>
      <c r="D83" s="53"/>
      <c r="E83" s="54"/>
      <c r="F83" s="55"/>
      <c r="H83" s="17" t="str">
        <f>IFERROR(VLOOKUP(A83, Registo_Diario_Motorista!$A$2:$M$5001, 13, FALSE), "")</f>
        <v/>
      </c>
      <c r="J83" s="62"/>
      <c r="K83" s="55"/>
      <c r="L83" s="63"/>
      <c r="Q83" s="53"/>
      <c r="R83" s="53"/>
      <c r="S83" s="61"/>
      <c r="T83" s="53"/>
      <c r="W83" s="53"/>
      <c r="X83" s="53"/>
      <c r="Y83" s="55"/>
      <c r="Z83" s="55"/>
      <c r="AA83" s="61"/>
      <c r="AB83" s="53"/>
      <c r="AE83" s="11"/>
      <c r="AF83" s="53"/>
      <c r="AH83" s="53"/>
      <c r="AJ83" s="61"/>
    </row>
    <row r="84" ht="15.75" customHeight="1">
      <c r="A84" s="55"/>
      <c r="C84" s="61"/>
      <c r="D84" s="53"/>
      <c r="E84" s="54"/>
      <c r="F84" s="55"/>
      <c r="H84" s="17" t="str">
        <f>IFERROR(VLOOKUP(A84, Registo_Diario_Motorista!$A$2:$M$5001, 13, FALSE), "")</f>
        <v/>
      </c>
      <c r="J84" s="62"/>
      <c r="K84" s="55"/>
      <c r="L84" s="63"/>
      <c r="Q84" s="53"/>
      <c r="R84" s="53"/>
      <c r="S84" s="61"/>
      <c r="T84" s="53"/>
      <c r="W84" s="53"/>
      <c r="X84" s="53"/>
      <c r="Y84" s="55"/>
      <c r="Z84" s="55"/>
      <c r="AA84" s="61"/>
      <c r="AB84" s="53"/>
      <c r="AE84" s="11"/>
      <c r="AF84" s="53"/>
      <c r="AH84" s="53"/>
      <c r="AJ84" s="61"/>
    </row>
    <row r="85" ht="15.75" customHeight="1">
      <c r="A85" s="55"/>
      <c r="C85" s="61"/>
      <c r="D85" s="53"/>
      <c r="E85" s="54"/>
      <c r="F85" s="55"/>
      <c r="H85" s="17" t="str">
        <f>IFERROR(VLOOKUP(A85, Registo_Diario_Motorista!$A$2:$M$5001, 13, FALSE), "")</f>
        <v/>
      </c>
      <c r="J85" s="62"/>
      <c r="K85" s="55"/>
      <c r="L85" s="63"/>
      <c r="Q85" s="53"/>
      <c r="R85" s="53"/>
      <c r="S85" s="61"/>
      <c r="T85" s="53"/>
      <c r="W85" s="53"/>
      <c r="X85" s="53"/>
      <c r="Y85" s="55"/>
      <c r="Z85" s="55"/>
      <c r="AA85" s="61"/>
      <c r="AB85" s="53"/>
      <c r="AE85" s="11"/>
      <c r="AF85" s="53"/>
      <c r="AH85" s="53"/>
      <c r="AJ85" s="61"/>
    </row>
    <row r="86" ht="15.75" customHeight="1">
      <c r="A86" s="55"/>
      <c r="C86" s="61"/>
      <c r="D86" s="53"/>
      <c r="E86" s="54"/>
      <c r="F86" s="55"/>
      <c r="H86" s="17" t="str">
        <f>IFERROR(VLOOKUP(A86, Registo_Diario_Motorista!$A$2:$M$5001, 13, FALSE), "")</f>
        <v/>
      </c>
      <c r="J86" s="62"/>
      <c r="K86" s="55"/>
      <c r="L86" s="63"/>
      <c r="Q86" s="53"/>
      <c r="R86" s="53"/>
      <c r="S86" s="61"/>
      <c r="T86" s="53"/>
      <c r="W86" s="53"/>
      <c r="X86" s="53"/>
      <c r="Y86" s="55"/>
      <c r="Z86" s="55"/>
      <c r="AA86" s="61"/>
      <c r="AB86" s="53"/>
      <c r="AE86" s="11"/>
      <c r="AF86" s="53"/>
      <c r="AH86" s="53"/>
      <c r="AJ86" s="61"/>
    </row>
    <row r="87" ht="15.75" customHeight="1">
      <c r="A87" s="55"/>
      <c r="C87" s="61"/>
      <c r="D87" s="53"/>
      <c r="E87" s="54"/>
      <c r="F87" s="55"/>
      <c r="H87" s="17" t="str">
        <f>IFERROR(VLOOKUP(A87, Registo_Diario_Motorista!$A$2:$M$5001, 13, FALSE), "")</f>
        <v/>
      </c>
      <c r="J87" s="62"/>
      <c r="K87" s="55"/>
      <c r="L87" s="63"/>
      <c r="Q87" s="53"/>
      <c r="R87" s="53"/>
      <c r="S87" s="61"/>
      <c r="T87" s="53"/>
      <c r="W87" s="53"/>
      <c r="X87" s="53"/>
      <c r="Y87" s="55"/>
      <c r="Z87" s="55"/>
      <c r="AA87" s="61"/>
      <c r="AB87" s="53"/>
      <c r="AE87" s="11"/>
      <c r="AF87" s="53"/>
      <c r="AH87" s="53"/>
      <c r="AJ87" s="61"/>
    </row>
    <row r="88" ht="15.75" customHeight="1">
      <c r="A88" s="55"/>
      <c r="C88" s="61"/>
      <c r="D88" s="53"/>
      <c r="E88" s="54"/>
      <c r="F88" s="55"/>
      <c r="H88" s="17" t="str">
        <f>IFERROR(VLOOKUP(A88, Registo_Diario_Motorista!$A$2:$M$5001, 13, FALSE), "")</f>
        <v/>
      </c>
      <c r="J88" s="62"/>
      <c r="K88" s="55"/>
      <c r="L88" s="63"/>
      <c r="Q88" s="53"/>
      <c r="R88" s="53"/>
      <c r="S88" s="61"/>
      <c r="T88" s="53"/>
      <c r="W88" s="53"/>
      <c r="X88" s="53"/>
      <c r="Y88" s="55"/>
      <c r="Z88" s="55"/>
      <c r="AA88" s="61"/>
      <c r="AB88" s="53"/>
      <c r="AE88" s="11"/>
      <c r="AF88" s="53"/>
      <c r="AH88" s="53"/>
      <c r="AJ88" s="61"/>
    </row>
    <row r="89" ht="15.75" customHeight="1">
      <c r="A89" s="55"/>
      <c r="C89" s="61"/>
      <c r="D89" s="53"/>
      <c r="E89" s="54"/>
      <c r="F89" s="55"/>
      <c r="H89" s="17" t="str">
        <f>IFERROR(VLOOKUP(A89, Registo_Diario_Motorista!$A$2:$M$5001, 13, FALSE), "")</f>
        <v/>
      </c>
      <c r="J89" s="62"/>
      <c r="K89" s="55"/>
      <c r="L89" s="63"/>
      <c r="Q89" s="53"/>
      <c r="R89" s="53"/>
      <c r="S89" s="61"/>
      <c r="T89" s="53"/>
      <c r="W89" s="53"/>
      <c r="X89" s="53"/>
      <c r="Y89" s="55"/>
      <c r="Z89" s="55"/>
      <c r="AA89" s="61"/>
      <c r="AB89" s="53"/>
      <c r="AE89" s="11"/>
      <c r="AF89" s="53"/>
      <c r="AH89" s="53"/>
      <c r="AJ89" s="61"/>
    </row>
    <row r="90" ht="15.75" customHeight="1">
      <c r="A90" s="55"/>
      <c r="C90" s="61"/>
      <c r="D90" s="53"/>
      <c r="E90" s="54"/>
      <c r="F90" s="55"/>
      <c r="H90" s="17" t="str">
        <f>IFERROR(VLOOKUP(A90, Registo_Diario_Motorista!$A$2:$M$5001, 13, FALSE), "")</f>
        <v/>
      </c>
      <c r="J90" s="62"/>
      <c r="K90" s="55"/>
      <c r="L90" s="63"/>
      <c r="Q90" s="53"/>
      <c r="R90" s="53"/>
      <c r="S90" s="61"/>
      <c r="T90" s="53"/>
      <c r="W90" s="53"/>
      <c r="X90" s="53"/>
      <c r="Y90" s="55"/>
      <c r="Z90" s="55"/>
      <c r="AA90" s="61"/>
      <c r="AB90" s="53"/>
      <c r="AE90" s="11"/>
      <c r="AF90" s="53"/>
      <c r="AH90" s="53"/>
      <c r="AJ90" s="61"/>
    </row>
    <row r="91" ht="15.75" customHeight="1">
      <c r="A91" s="55"/>
      <c r="C91" s="61"/>
      <c r="D91" s="53"/>
      <c r="E91" s="54"/>
      <c r="F91" s="55"/>
      <c r="H91" s="17" t="str">
        <f>IFERROR(VLOOKUP(A91, Registo_Diario_Motorista!$A$2:$M$5001, 13, FALSE), "")</f>
        <v/>
      </c>
      <c r="J91" s="62"/>
      <c r="K91" s="55"/>
      <c r="L91" s="63"/>
      <c r="Q91" s="53"/>
      <c r="R91" s="53"/>
      <c r="S91" s="61"/>
      <c r="T91" s="53"/>
      <c r="W91" s="53"/>
      <c r="X91" s="53"/>
      <c r="Y91" s="55"/>
      <c r="Z91" s="55"/>
      <c r="AA91" s="61"/>
      <c r="AB91" s="53"/>
      <c r="AE91" s="11"/>
      <c r="AF91" s="53"/>
      <c r="AH91" s="53"/>
      <c r="AJ91" s="61"/>
    </row>
    <row r="92" ht="15.75" customHeight="1">
      <c r="A92" s="55"/>
      <c r="C92" s="61"/>
      <c r="D92" s="53"/>
      <c r="E92" s="54"/>
      <c r="F92" s="55"/>
      <c r="H92" s="17" t="str">
        <f>IFERROR(VLOOKUP(A92, Registo_Diario_Motorista!$A$2:$M$5001, 13, FALSE), "")</f>
        <v/>
      </c>
      <c r="J92" s="62"/>
      <c r="K92" s="55"/>
      <c r="L92" s="63"/>
      <c r="Q92" s="53"/>
      <c r="R92" s="53"/>
      <c r="S92" s="61"/>
      <c r="T92" s="53"/>
      <c r="W92" s="53"/>
      <c r="X92" s="53"/>
      <c r="Y92" s="55"/>
      <c r="Z92" s="55"/>
      <c r="AA92" s="61"/>
      <c r="AB92" s="53"/>
      <c r="AE92" s="11"/>
      <c r="AF92" s="53"/>
      <c r="AH92" s="53"/>
      <c r="AJ92" s="61"/>
    </row>
    <row r="93" ht="15.75" customHeight="1">
      <c r="A93" s="55"/>
      <c r="C93" s="61"/>
      <c r="D93" s="53"/>
      <c r="E93" s="54"/>
      <c r="F93" s="55"/>
      <c r="H93" s="17" t="str">
        <f>IFERROR(VLOOKUP(A93, Registo_Diario_Motorista!$A$2:$M$5001, 13, FALSE), "")</f>
        <v/>
      </c>
      <c r="J93" s="62"/>
      <c r="K93" s="55"/>
      <c r="L93" s="63"/>
      <c r="Q93" s="53"/>
      <c r="R93" s="53"/>
      <c r="S93" s="61"/>
      <c r="T93" s="53"/>
      <c r="W93" s="53"/>
      <c r="X93" s="53"/>
      <c r="Y93" s="55"/>
      <c r="Z93" s="55"/>
      <c r="AA93" s="61"/>
      <c r="AB93" s="53"/>
      <c r="AE93" s="11"/>
      <c r="AF93" s="53"/>
      <c r="AH93" s="53"/>
      <c r="AJ93" s="61"/>
    </row>
    <row r="94" ht="15.75" customHeight="1">
      <c r="A94" s="55"/>
      <c r="C94" s="61"/>
      <c r="D94" s="53"/>
      <c r="E94" s="54"/>
      <c r="F94" s="55"/>
      <c r="H94" s="17" t="str">
        <f>IFERROR(VLOOKUP(A94, Registo_Diario_Motorista!$A$2:$M$5001, 13, FALSE), "")</f>
        <v/>
      </c>
      <c r="J94" s="62"/>
      <c r="K94" s="55"/>
      <c r="L94" s="63"/>
      <c r="Q94" s="53"/>
      <c r="R94" s="53"/>
      <c r="S94" s="61"/>
      <c r="T94" s="53"/>
      <c r="W94" s="53"/>
      <c r="X94" s="53"/>
      <c r="Y94" s="55"/>
      <c r="Z94" s="55"/>
      <c r="AA94" s="61"/>
      <c r="AB94" s="53"/>
      <c r="AE94" s="11"/>
      <c r="AF94" s="53"/>
      <c r="AH94" s="53"/>
      <c r="AJ94" s="61"/>
    </row>
    <row r="95" ht="15.75" customHeight="1">
      <c r="A95" s="55"/>
      <c r="C95" s="61"/>
      <c r="D95" s="53"/>
      <c r="E95" s="54"/>
      <c r="F95" s="55"/>
      <c r="H95" s="17" t="str">
        <f>IFERROR(VLOOKUP(A95, Registo_Diario_Motorista!$A$2:$M$5001, 13, FALSE), "")</f>
        <v/>
      </c>
      <c r="J95" s="62"/>
      <c r="K95" s="55"/>
      <c r="L95" s="63"/>
      <c r="Q95" s="53"/>
      <c r="R95" s="53"/>
      <c r="S95" s="61"/>
      <c r="T95" s="53"/>
      <c r="W95" s="53"/>
      <c r="X95" s="53"/>
      <c r="Y95" s="55"/>
      <c r="Z95" s="55"/>
      <c r="AA95" s="61"/>
      <c r="AB95" s="53"/>
      <c r="AE95" s="11"/>
      <c r="AF95" s="53"/>
      <c r="AH95" s="53"/>
      <c r="AJ95" s="61"/>
    </row>
    <row r="96" ht="15.75" customHeight="1">
      <c r="A96" s="55"/>
      <c r="C96" s="61"/>
      <c r="D96" s="53"/>
      <c r="E96" s="54"/>
      <c r="F96" s="55"/>
      <c r="H96" s="17" t="str">
        <f>IFERROR(VLOOKUP(A96, Registo_Diario_Motorista!$A$2:$M$5001, 13, FALSE), "")</f>
        <v/>
      </c>
      <c r="J96" s="62"/>
      <c r="K96" s="55"/>
      <c r="L96" s="63"/>
      <c r="Q96" s="53"/>
      <c r="R96" s="53"/>
      <c r="S96" s="61"/>
      <c r="T96" s="53"/>
      <c r="W96" s="53"/>
      <c r="X96" s="53"/>
      <c r="Y96" s="55"/>
      <c r="Z96" s="55"/>
      <c r="AA96" s="61"/>
      <c r="AB96" s="53"/>
      <c r="AE96" s="11"/>
      <c r="AF96" s="53"/>
      <c r="AH96" s="53"/>
      <c r="AJ96" s="61"/>
    </row>
    <row r="97" ht="15.75" customHeight="1">
      <c r="A97" s="55"/>
      <c r="C97" s="61"/>
      <c r="D97" s="53"/>
      <c r="E97" s="54"/>
      <c r="F97" s="55"/>
      <c r="H97" s="17" t="str">
        <f>IFERROR(VLOOKUP(A97, Registo_Diario_Motorista!$A$2:$M$5001, 13, FALSE), "")</f>
        <v/>
      </c>
      <c r="J97" s="62"/>
      <c r="K97" s="55"/>
      <c r="L97" s="63"/>
      <c r="Q97" s="53"/>
      <c r="R97" s="53"/>
      <c r="S97" s="61"/>
      <c r="T97" s="53"/>
      <c r="W97" s="53"/>
      <c r="X97" s="53"/>
      <c r="Y97" s="55"/>
      <c r="Z97" s="55"/>
      <c r="AA97" s="61"/>
      <c r="AB97" s="53"/>
      <c r="AE97" s="11"/>
      <c r="AF97" s="53"/>
      <c r="AH97" s="53"/>
      <c r="AJ97" s="61"/>
    </row>
    <row r="98" ht="15.75" customHeight="1">
      <c r="A98" s="55"/>
      <c r="C98" s="61"/>
      <c r="D98" s="53"/>
      <c r="E98" s="54"/>
      <c r="F98" s="55"/>
      <c r="H98" s="17" t="str">
        <f>IFERROR(VLOOKUP(A98, Registo_Diario_Motorista!$A$2:$M$5001, 13, FALSE), "")</f>
        <v/>
      </c>
      <c r="J98" s="62"/>
      <c r="K98" s="55"/>
      <c r="L98" s="63"/>
      <c r="Q98" s="53"/>
      <c r="R98" s="53"/>
      <c r="S98" s="61"/>
      <c r="T98" s="53"/>
      <c r="W98" s="53"/>
      <c r="X98" s="53"/>
      <c r="Y98" s="55"/>
      <c r="Z98" s="55"/>
      <c r="AA98" s="61"/>
      <c r="AB98" s="53"/>
      <c r="AE98" s="11"/>
      <c r="AF98" s="53"/>
      <c r="AH98" s="53"/>
      <c r="AJ98" s="61"/>
    </row>
    <row r="99" ht="15.75" customHeight="1">
      <c r="A99" s="55"/>
      <c r="C99" s="61"/>
      <c r="D99" s="53"/>
      <c r="E99" s="54"/>
      <c r="F99" s="55"/>
      <c r="H99" s="17" t="str">
        <f>IFERROR(VLOOKUP(A99, Registo_Diario_Motorista!$A$2:$M$5001, 13, FALSE), "")</f>
        <v/>
      </c>
      <c r="J99" s="62"/>
      <c r="K99" s="55"/>
      <c r="L99" s="63"/>
      <c r="Q99" s="53"/>
      <c r="R99" s="53"/>
      <c r="S99" s="61"/>
      <c r="T99" s="53"/>
      <c r="W99" s="53"/>
      <c r="X99" s="53"/>
      <c r="Y99" s="55"/>
      <c r="Z99" s="55"/>
      <c r="AA99" s="61"/>
      <c r="AB99" s="53"/>
      <c r="AE99" s="11"/>
      <c r="AF99" s="53"/>
      <c r="AH99" s="53"/>
      <c r="AJ99" s="61"/>
    </row>
    <row r="100" ht="15.75" customHeight="1">
      <c r="A100" s="55"/>
      <c r="C100" s="61"/>
      <c r="D100" s="53"/>
      <c r="E100" s="54"/>
      <c r="F100" s="55"/>
      <c r="H100" s="17" t="str">
        <f>IFERROR(VLOOKUP(A100, Registo_Diario_Motorista!$A$2:$M$5001, 13, FALSE), "")</f>
        <v/>
      </c>
      <c r="J100" s="62"/>
      <c r="K100" s="55"/>
      <c r="L100" s="63"/>
      <c r="Q100" s="53"/>
      <c r="R100" s="53"/>
      <c r="S100" s="61"/>
      <c r="T100" s="53"/>
      <c r="W100" s="53"/>
      <c r="X100" s="53"/>
      <c r="Y100" s="55"/>
      <c r="Z100" s="55"/>
      <c r="AA100" s="61"/>
      <c r="AB100" s="53"/>
      <c r="AE100" s="11"/>
      <c r="AF100" s="53"/>
      <c r="AH100" s="53"/>
      <c r="AJ100" s="61"/>
    </row>
    <row r="101" ht="15.75" customHeight="1">
      <c r="A101" s="55"/>
      <c r="C101" s="61"/>
      <c r="D101" s="53"/>
      <c r="E101" s="54"/>
      <c r="F101" s="55"/>
      <c r="H101" s="17" t="str">
        <f>IFERROR(VLOOKUP(A101, Registo_Diario_Motorista!$A$2:$M$5001, 13, FALSE), "")</f>
        <v/>
      </c>
      <c r="J101" s="62"/>
      <c r="K101" s="55"/>
      <c r="L101" s="63"/>
      <c r="Q101" s="53"/>
      <c r="R101" s="53"/>
      <c r="S101" s="61"/>
      <c r="T101" s="53"/>
      <c r="W101" s="53"/>
      <c r="X101" s="53"/>
      <c r="Y101" s="55"/>
      <c r="Z101" s="55"/>
      <c r="AA101" s="61"/>
      <c r="AB101" s="53"/>
      <c r="AE101" s="11"/>
      <c r="AF101" s="53"/>
      <c r="AH101" s="53"/>
      <c r="AJ101" s="61"/>
    </row>
    <row r="102" ht="15.75" customHeight="1">
      <c r="A102" s="55"/>
      <c r="C102" s="61"/>
      <c r="D102" s="53"/>
      <c r="E102" s="54"/>
      <c r="F102" s="55"/>
      <c r="H102" s="17" t="str">
        <f>IFERROR(VLOOKUP(A102, Registo_Diario_Motorista!$A$2:$M$5001, 13, FALSE), "")</f>
        <v/>
      </c>
      <c r="J102" s="62"/>
      <c r="K102" s="55"/>
      <c r="L102" s="63"/>
      <c r="Q102" s="53"/>
      <c r="R102" s="53"/>
      <c r="S102" s="61"/>
      <c r="T102" s="53"/>
      <c r="W102" s="53"/>
      <c r="X102" s="53"/>
      <c r="Y102" s="55"/>
      <c r="Z102" s="55"/>
      <c r="AA102" s="61"/>
      <c r="AB102" s="53"/>
      <c r="AE102" s="11"/>
      <c r="AF102" s="53"/>
      <c r="AH102" s="53"/>
      <c r="AJ102" s="61"/>
    </row>
    <row r="103" ht="15.75" customHeight="1">
      <c r="A103" s="55"/>
      <c r="C103" s="61"/>
      <c r="D103" s="53"/>
      <c r="E103" s="54"/>
      <c r="F103" s="55"/>
      <c r="H103" s="17" t="str">
        <f>IFERROR(VLOOKUP(A103, Registo_Diario_Motorista!$A$2:$M$5001, 13, FALSE), "")</f>
        <v/>
      </c>
      <c r="J103" s="62"/>
      <c r="K103" s="55"/>
      <c r="L103" s="63"/>
      <c r="Q103" s="53"/>
      <c r="R103" s="53"/>
      <c r="S103" s="61"/>
      <c r="T103" s="53"/>
      <c r="W103" s="53"/>
      <c r="X103" s="53"/>
      <c r="Y103" s="55"/>
      <c r="Z103" s="55"/>
      <c r="AA103" s="61"/>
      <c r="AB103" s="53"/>
      <c r="AE103" s="11"/>
      <c r="AF103" s="53"/>
      <c r="AH103" s="53"/>
      <c r="AJ103" s="61"/>
    </row>
    <row r="104" ht="15.75" customHeight="1">
      <c r="A104" s="55"/>
      <c r="C104" s="61"/>
      <c r="D104" s="53"/>
      <c r="E104" s="54"/>
      <c r="F104" s="55"/>
      <c r="H104" s="17" t="str">
        <f>IFERROR(VLOOKUP(A104, Registo_Diario_Motorista!$A$2:$M$5001, 13, FALSE), "")</f>
        <v/>
      </c>
      <c r="J104" s="62"/>
      <c r="K104" s="55"/>
      <c r="L104" s="63"/>
      <c r="Q104" s="53"/>
      <c r="R104" s="53"/>
      <c r="S104" s="61"/>
      <c r="T104" s="53"/>
      <c r="W104" s="53"/>
      <c r="X104" s="53"/>
      <c r="Y104" s="55"/>
      <c r="Z104" s="55"/>
      <c r="AA104" s="61"/>
      <c r="AB104" s="53"/>
      <c r="AE104" s="11"/>
      <c r="AF104" s="53"/>
      <c r="AH104" s="53"/>
      <c r="AJ104" s="61"/>
    </row>
    <row r="105" ht="15.75" customHeight="1">
      <c r="A105" s="55"/>
      <c r="C105" s="61"/>
      <c r="D105" s="53"/>
      <c r="E105" s="54"/>
      <c r="F105" s="55"/>
      <c r="H105" s="17" t="str">
        <f>IFERROR(VLOOKUP(A105, Registo_Diario_Motorista!$A$2:$M$5001, 13, FALSE), "")</f>
        <v/>
      </c>
      <c r="J105" s="62"/>
      <c r="K105" s="55"/>
      <c r="L105" s="63"/>
      <c r="Q105" s="53"/>
      <c r="R105" s="53"/>
      <c r="S105" s="61"/>
      <c r="T105" s="53"/>
      <c r="W105" s="53"/>
      <c r="X105" s="53"/>
      <c r="Y105" s="55"/>
      <c r="Z105" s="55"/>
      <c r="AA105" s="61"/>
      <c r="AB105" s="53"/>
      <c r="AE105" s="11"/>
      <c r="AF105" s="53"/>
      <c r="AH105" s="53"/>
      <c r="AJ105" s="61"/>
    </row>
    <row r="106" ht="15.75" customHeight="1">
      <c r="A106" s="55"/>
      <c r="C106" s="61"/>
      <c r="D106" s="53"/>
      <c r="E106" s="54"/>
      <c r="F106" s="55"/>
      <c r="H106" s="17" t="str">
        <f>IFERROR(VLOOKUP(A106, Registo_Diario_Motorista!$A$2:$M$5001, 13, FALSE), "")</f>
        <v/>
      </c>
      <c r="J106" s="62"/>
      <c r="K106" s="55"/>
      <c r="L106" s="63"/>
      <c r="Q106" s="53"/>
      <c r="R106" s="53"/>
      <c r="S106" s="61"/>
      <c r="T106" s="53"/>
      <c r="W106" s="53"/>
      <c r="X106" s="53"/>
      <c r="Y106" s="55"/>
      <c r="Z106" s="55"/>
      <c r="AA106" s="61"/>
      <c r="AB106" s="53"/>
      <c r="AE106" s="11"/>
      <c r="AF106" s="53"/>
      <c r="AH106" s="53"/>
      <c r="AJ106" s="61"/>
    </row>
    <row r="107" ht="15.75" customHeight="1">
      <c r="A107" s="55"/>
      <c r="C107" s="61"/>
      <c r="D107" s="53"/>
      <c r="E107" s="54"/>
      <c r="F107" s="55"/>
      <c r="H107" s="17" t="str">
        <f>IFERROR(VLOOKUP(A107, Registo_Diario_Motorista!$A$2:$M$5001, 13, FALSE), "")</f>
        <v/>
      </c>
      <c r="J107" s="62"/>
      <c r="K107" s="55"/>
      <c r="L107" s="63"/>
      <c r="Q107" s="53"/>
      <c r="R107" s="53"/>
      <c r="S107" s="61"/>
      <c r="T107" s="53"/>
      <c r="W107" s="53"/>
      <c r="X107" s="53"/>
      <c r="Y107" s="55"/>
      <c r="Z107" s="55"/>
      <c r="AA107" s="61"/>
      <c r="AB107" s="53"/>
      <c r="AE107" s="11"/>
      <c r="AF107" s="53"/>
      <c r="AH107" s="53"/>
      <c r="AJ107" s="61"/>
    </row>
    <row r="108" ht="15.75" customHeight="1">
      <c r="A108" s="55"/>
      <c r="C108" s="61"/>
      <c r="D108" s="53"/>
      <c r="E108" s="54"/>
      <c r="F108" s="55"/>
      <c r="H108" s="17" t="str">
        <f>IFERROR(VLOOKUP(A108, Registo_Diario_Motorista!$A$2:$M$5001, 13, FALSE), "")</f>
        <v/>
      </c>
      <c r="J108" s="62"/>
      <c r="K108" s="55"/>
      <c r="L108" s="63"/>
      <c r="Q108" s="53"/>
      <c r="R108" s="53"/>
      <c r="S108" s="61"/>
      <c r="T108" s="53"/>
      <c r="W108" s="53"/>
      <c r="X108" s="53"/>
      <c r="Y108" s="55"/>
      <c r="Z108" s="55"/>
      <c r="AA108" s="61"/>
      <c r="AB108" s="53"/>
      <c r="AE108" s="11"/>
      <c r="AF108" s="53"/>
      <c r="AH108" s="53"/>
      <c r="AJ108" s="61"/>
    </row>
    <row r="109" ht="15.75" customHeight="1">
      <c r="A109" s="55"/>
      <c r="C109" s="61"/>
      <c r="D109" s="53"/>
      <c r="E109" s="54"/>
      <c r="F109" s="55"/>
      <c r="H109" s="17" t="str">
        <f>IFERROR(VLOOKUP(A109, Registo_Diario_Motorista!$A$2:$M$5001, 13, FALSE), "")</f>
        <v/>
      </c>
      <c r="J109" s="62"/>
      <c r="K109" s="55"/>
      <c r="L109" s="63"/>
      <c r="Q109" s="53"/>
      <c r="R109" s="53"/>
      <c r="S109" s="61"/>
      <c r="T109" s="53"/>
      <c r="W109" s="53"/>
      <c r="X109" s="53"/>
      <c r="Y109" s="55"/>
      <c r="Z109" s="55"/>
      <c r="AA109" s="61"/>
      <c r="AB109" s="53"/>
      <c r="AE109" s="11"/>
      <c r="AF109" s="53"/>
      <c r="AH109" s="53"/>
      <c r="AJ109" s="61"/>
    </row>
    <row r="110" ht="15.75" customHeight="1">
      <c r="A110" s="55"/>
      <c r="C110" s="61"/>
      <c r="D110" s="53"/>
      <c r="E110" s="54"/>
      <c r="F110" s="55"/>
      <c r="H110" s="17" t="str">
        <f>IFERROR(VLOOKUP(A110, Registo_Diario_Motorista!$A$2:$M$5001, 13, FALSE), "")</f>
        <v/>
      </c>
      <c r="J110" s="62"/>
      <c r="K110" s="55"/>
      <c r="L110" s="63"/>
      <c r="Q110" s="53"/>
      <c r="R110" s="53"/>
      <c r="S110" s="61"/>
      <c r="T110" s="53"/>
      <c r="W110" s="53"/>
      <c r="X110" s="53"/>
      <c r="Y110" s="55"/>
      <c r="Z110" s="55"/>
      <c r="AA110" s="61"/>
      <c r="AB110" s="53"/>
      <c r="AE110" s="11"/>
      <c r="AF110" s="53"/>
      <c r="AH110" s="53"/>
      <c r="AJ110" s="61"/>
    </row>
    <row r="111" ht="15.75" customHeight="1">
      <c r="A111" s="55"/>
      <c r="C111" s="61"/>
      <c r="D111" s="53"/>
      <c r="E111" s="54"/>
      <c r="F111" s="55"/>
      <c r="H111" s="17" t="str">
        <f>IFERROR(VLOOKUP(A111, Registo_Diario_Motorista!$A$2:$M$5001, 13, FALSE), "")</f>
        <v/>
      </c>
      <c r="J111" s="62"/>
      <c r="K111" s="55"/>
      <c r="L111" s="63"/>
      <c r="Q111" s="53"/>
      <c r="R111" s="53"/>
      <c r="S111" s="61"/>
      <c r="T111" s="53"/>
      <c r="W111" s="53"/>
      <c r="X111" s="53"/>
      <c r="Y111" s="55"/>
      <c r="Z111" s="55"/>
      <c r="AA111" s="61"/>
      <c r="AB111" s="53"/>
      <c r="AE111" s="11"/>
      <c r="AF111" s="53"/>
      <c r="AH111" s="53"/>
      <c r="AJ111" s="61"/>
    </row>
    <row r="112" ht="15.75" customHeight="1">
      <c r="A112" s="55"/>
      <c r="C112" s="61"/>
      <c r="D112" s="53"/>
      <c r="E112" s="54"/>
      <c r="F112" s="55"/>
      <c r="H112" s="17" t="str">
        <f>IFERROR(VLOOKUP(A112, Registo_Diario_Motorista!$A$2:$M$5001, 13, FALSE), "")</f>
        <v/>
      </c>
      <c r="J112" s="62"/>
      <c r="K112" s="55"/>
      <c r="L112" s="63"/>
      <c r="Q112" s="53"/>
      <c r="R112" s="53"/>
      <c r="S112" s="61"/>
      <c r="T112" s="53"/>
      <c r="W112" s="53"/>
      <c r="X112" s="53"/>
      <c r="Y112" s="55"/>
      <c r="Z112" s="55"/>
      <c r="AA112" s="61"/>
      <c r="AB112" s="53"/>
      <c r="AE112" s="11"/>
      <c r="AF112" s="53"/>
      <c r="AH112" s="53"/>
      <c r="AJ112" s="61"/>
    </row>
    <row r="113" ht="15.75" customHeight="1">
      <c r="A113" s="55"/>
      <c r="C113" s="61"/>
      <c r="D113" s="53"/>
      <c r="E113" s="54"/>
      <c r="F113" s="55"/>
      <c r="H113" s="17" t="str">
        <f>IFERROR(VLOOKUP(A113, Registo_Diario_Motorista!$A$2:$M$5001, 13, FALSE), "")</f>
        <v/>
      </c>
      <c r="J113" s="62"/>
      <c r="K113" s="55"/>
      <c r="L113" s="63"/>
      <c r="Q113" s="53"/>
      <c r="R113" s="53"/>
      <c r="S113" s="61"/>
      <c r="T113" s="53"/>
      <c r="W113" s="53"/>
      <c r="X113" s="53"/>
      <c r="Y113" s="55"/>
      <c r="Z113" s="55"/>
      <c r="AA113" s="61"/>
      <c r="AB113" s="53"/>
      <c r="AE113" s="11"/>
      <c r="AF113" s="53"/>
      <c r="AH113" s="53"/>
      <c r="AJ113" s="61"/>
    </row>
    <row r="114" ht="15.75" customHeight="1">
      <c r="A114" s="55"/>
      <c r="C114" s="61"/>
      <c r="D114" s="53"/>
      <c r="E114" s="54"/>
      <c r="F114" s="55"/>
      <c r="H114" s="17" t="str">
        <f>IFERROR(VLOOKUP(A114, Registo_Diario_Motorista!$A$2:$M$5001, 13, FALSE), "")</f>
        <v/>
      </c>
      <c r="J114" s="62"/>
      <c r="K114" s="55"/>
      <c r="L114" s="63"/>
      <c r="Q114" s="53"/>
      <c r="R114" s="53"/>
      <c r="S114" s="61"/>
      <c r="T114" s="53"/>
      <c r="W114" s="53"/>
      <c r="X114" s="53"/>
      <c r="Y114" s="55"/>
      <c r="Z114" s="55"/>
      <c r="AA114" s="61"/>
      <c r="AB114" s="53"/>
      <c r="AE114" s="11"/>
      <c r="AF114" s="53"/>
      <c r="AH114" s="53"/>
      <c r="AJ114" s="61"/>
    </row>
    <row r="115" ht="15.75" customHeight="1">
      <c r="A115" s="55"/>
      <c r="C115" s="61"/>
      <c r="D115" s="53"/>
      <c r="E115" s="54"/>
      <c r="F115" s="55"/>
      <c r="H115" s="17" t="str">
        <f>IFERROR(VLOOKUP(A115, Registo_Diario_Motorista!$A$2:$M$5001, 13, FALSE), "")</f>
        <v/>
      </c>
      <c r="J115" s="62"/>
      <c r="K115" s="55"/>
      <c r="L115" s="63"/>
      <c r="Q115" s="53"/>
      <c r="R115" s="53"/>
      <c r="S115" s="61"/>
      <c r="T115" s="53"/>
      <c r="W115" s="53"/>
      <c r="X115" s="53"/>
      <c r="Y115" s="55"/>
      <c r="Z115" s="55"/>
      <c r="AA115" s="61"/>
      <c r="AB115" s="53"/>
      <c r="AE115" s="11"/>
      <c r="AF115" s="53"/>
      <c r="AH115" s="53"/>
      <c r="AJ115" s="61"/>
    </row>
    <row r="116" ht="15.75" customHeight="1">
      <c r="A116" s="55"/>
      <c r="C116" s="61"/>
      <c r="D116" s="53"/>
      <c r="E116" s="54"/>
      <c r="F116" s="55"/>
      <c r="H116" s="17" t="str">
        <f>IFERROR(VLOOKUP(A116, Registo_Diario_Motorista!$A$2:$M$5001, 13, FALSE), "")</f>
        <v/>
      </c>
      <c r="J116" s="62"/>
      <c r="K116" s="55"/>
      <c r="L116" s="63"/>
      <c r="Q116" s="53"/>
      <c r="R116" s="53"/>
      <c r="S116" s="61"/>
      <c r="T116" s="53"/>
      <c r="W116" s="53"/>
      <c r="X116" s="53"/>
      <c r="Y116" s="55"/>
      <c r="Z116" s="55"/>
      <c r="AA116" s="61"/>
      <c r="AB116" s="53"/>
      <c r="AE116" s="11"/>
      <c r="AF116" s="53"/>
      <c r="AH116" s="53"/>
      <c r="AJ116" s="61"/>
    </row>
    <row r="117" ht="15.75" customHeight="1">
      <c r="A117" s="55"/>
      <c r="C117" s="61"/>
      <c r="D117" s="53"/>
      <c r="E117" s="54"/>
      <c r="F117" s="55"/>
      <c r="H117" s="17" t="str">
        <f>IFERROR(VLOOKUP(A117, Registo_Diario_Motorista!$A$2:$M$5001, 13, FALSE), "")</f>
        <v/>
      </c>
      <c r="J117" s="62"/>
      <c r="K117" s="55"/>
      <c r="L117" s="63"/>
      <c r="Q117" s="53"/>
      <c r="R117" s="53"/>
      <c r="S117" s="61"/>
      <c r="T117" s="53"/>
      <c r="W117" s="53"/>
      <c r="X117" s="53"/>
      <c r="Y117" s="55"/>
      <c r="Z117" s="55"/>
      <c r="AA117" s="61"/>
      <c r="AB117" s="53"/>
      <c r="AE117" s="11"/>
      <c r="AF117" s="53"/>
      <c r="AH117" s="53"/>
      <c r="AJ117" s="61"/>
    </row>
    <row r="118" ht="15.75" customHeight="1">
      <c r="A118" s="55"/>
      <c r="C118" s="61"/>
      <c r="D118" s="53"/>
      <c r="E118" s="54"/>
      <c r="F118" s="55"/>
      <c r="H118" s="17" t="str">
        <f>IFERROR(VLOOKUP(A118, Registo_Diario_Motorista!$A$2:$M$5001, 13, FALSE), "")</f>
        <v/>
      </c>
      <c r="J118" s="62"/>
      <c r="K118" s="55"/>
      <c r="L118" s="63"/>
      <c r="Q118" s="53"/>
      <c r="R118" s="53"/>
      <c r="S118" s="61"/>
      <c r="T118" s="53"/>
      <c r="W118" s="53"/>
      <c r="X118" s="53"/>
      <c r="Y118" s="55"/>
      <c r="Z118" s="55"/>
      <c r="AA118" s="61"/>
      <c r="AB118" s="53"/>
      <c r="AE118" s="11"/>
      <c r="AF118" s="53"/>
      <c r="AH118" s="53"/>
      <c r="AJ118" s="61"/>
    </row>
    <row r="119" ht="15.75" customHeight="1">
      <c r="A119" s="55"/>
      <c r="C119" s="61"/>
      <c r="D119" s="53"/>
      <c r="E119" s="54"/>
      <c r="F119" s="55"/>
      <c r="H119" s="17" t="str">
        <f>IFERROR(VLOOKUP(A119, Registo_Diario_Motorista!$A$2:$M$5001, 13, FALSE), "")</f>
        <v/>
      </c>
      <c r="J119" s="62"/>
      <c r="K119" s="55"/>
      <c r="L119" s="63"/>
      <c r="Q119" s="53"/>
      <c r="R119" s="53"/>
      <c r="S119" s="61"/>
      <c r="T119" s="53"/>
      <c r="W119" s="53"/>
      <c r="X119" s="53"/>
      <c r="Y119" s="55"/>
      <c r="Z119" s="55"/>
      <c r="AA119" s="61"/>
      <c r="AB119" s="53"/>
      <c r="AE119" s="11"/>
      <c r="AF119" s="53"/>
      <c r="AH119" s="53"/>
      <c r="AJ119" s="61"/>
    </row>
    <row r="120" ht="15.75" customHeight="1">
      <c r="A120" s="55"/>
      <c r="C120" s="61"/>
      <c r="D120" s="53"/>
      <c r="E120" s="54"/>
      <c r="F120" s="55"/>
      <c r="H120" s="17" t="str">
        <f>IFERROR(VLOOKUP(A120, Registo_Diario_Motorista!$A$2:$M$5001, 13, FALSE), "")</f>
        <v/>
      </c>
      <c r="J120" s="62"/>
      <c r="K120" s="55"/>
      <c r="L120" s="63"/>
      <c r="Q120" s="53"/>
      <c r="R120" s="53"/>
      <c r="S120" s="61"/>
      <c r="T120" s="53"/>
      <c r="W120" s="53"/>
      <c r="X120" s="53"/>
      <c r="Y120" s="55"/>
      <c r="Z120" s="55"/>
      <c r="AA120" s="61"/>
      <c r="AB120" s="53"/>
      <c r="AE120" s="11"/>
      <c r="AF120" s="53"/>
      <c r="AH120" s="53"/>
      <c r="AJ120" s="61"/>
    </row>
    <row r="121" ht="15.75" customHeight="1">
      <c r="A121" s="55"/>
      <c r="C121" s="61"/>
      <c r="D121" s="53"/>
      <c r="E121" s="54"/>
      <c r="F121" s="55"/>
      <c r="H121" s="17" t="str">
        <f>IFERROR(VLOOKUP(A121, Registo_Diario_Motorista!$A$2:$M$5001, 13, FALSE), "")</f>
        <v/>
      </c>
      <c r="J121" s="62"/>
      <c r="K121" s="55"/>
      <c r="L121" s="63"/>
      <c r="Q121" s="53"/>
      <c r="R121" s="53"/>
      <c r="S121" s="61"/>
      <c r="T121" s="53"/>
      <c r="W121" s="53"/>
      <c r="X121" s="53"/>
      <c r="Y121" s="55"/>
      <c r="Z121" s="55"/>
      <c r="AA121" s="61"/>
      <c r="AB121" s="53"/>
      <c r="AE121" s="11"/>
      <c r="AF121" s="53"/>
      <c r="AH121" s="53"/>
      <c r="AJ121" s="61"/>
    </row>
    <row r="122" ht="15.75" customHeight="1">
      <c r="A122" s="55"/>
      <c r="C122" s="61"/>
      <c r="D122" s="53"/>
      <c r="E122" s="54"/>
      <c r="F122" s="55"/>
      <c r="H122" s="17" t="str">
        <f>IFERROR(VLOOKUP(A122, Registo_Diario_Motorista!$A$2:$M$5001, 13, FALSE), "")</f>
        <v/>
      </c>
      <c r="J122" s="62"/>
      <c r="K122" s="55"/>
      <c r="L122" s="63"/>
      <c r="Q122" s="53"/>
      <c r="R122" s="53"/>
      <c r="S122" s="61"/>
      <c r="T122" s="53"/>
      <c r="W122" s="53"/>
      <c r="X122" s="53"/>
      <c r="Y122" s="55"/>
      <c r="Z122" s="55"/>
      <c r="AA122" s="61"/>
      <c r="AB122" s="53"/>
      <c r="AE122" s="11"/>
      <c r="AF122" s="53"/>
      <c r="AH122" s="53"/>
      <c r="AJ122" s="61"/>
    </row>
    <row r="123" ht="15.75" customHeight="1">
      <c r="A123" s="55"/>
      <c r="C123" s="61"/>
      <c r="D123" s="53"/>
      <c r="E123" s="54"/>
      <c r="F123" s="55"/>
      <c r="H123" s="17" t="str">
        <f>IFERROR(VLOOKUP(A123, Registo_Diario_Motorista!$A$2:$M$5001, 13, FALSE), "")</f>
        <v/>
      </c>
      <c r="J123" s="62"/>
      <c r="K123" s="55"/>
      <c r="L123" s="63"/>
      <c r="Q123" s="53"/>
      <c r="R123" s="53"/>
      <c r="S123" s="61"/>
      <c r="T123" s="53"/>
      <c r="W123" s="53"/>
      <c r="X123" s="53"/>
      <c r="Y123" s="55"/>
      <c r="Z123" s="55"/>
      <c r="AA123" s="61"/>
      <c r="AB123" s="53"/>
      <c r="AE123" s="11"/>
      <c r="AF123" s="53"/>
      <c r="AH123" s="53"/>
      <c r="AJ123" s="61"/>
    </row>
    <row r="124" ht="15.75" customHeight="1">
      <c r="A124" s="55"/>
      <c r="C124" s="61"/>
      <c r="D124" s="53"/>
      <c r="E124" s="54"/>
      <c r="F124" s="55"/>
      <c r="H124" s="17" t="str">
        <f>IFERROR(VLOOKUP(A124, Registo_Diario_Motorista!$A$2:$M$5001, 13, FALSE), "")</f>
        <v/>
      </c>
      <c r="J124" s="62"/>
      <c r="K124" s="55"/>
      <c r="L124" s="63"/>
      <c r="Q124" s="53"/>
      <c r="R124" s="53"/>
      <c r="S124" s="61"/>
      <c r="T124" s="53"/>
      <c r="W124" s="53"/>
      <c r="X124" s="53"/>
      <c r="Y124" s="55"/>
      <c r="Z124" s="55"/>
      <c r="AA124" s="61"/>
      <c r="AB124" s="53"/>
      <c r="AE124" s="11"/>
      <c r="AF124" s="53"/>
      <c r="AH124" s="53"/>
      <c r="AJ124" s="61"/>
    </row>
    <row r="125" ht="15.75" customHeight="1">
      <c r="A125" s="55"/>
      <c r="C125" s="61"/>
      <c r="D125" s="53"/>
      <c r="E125" s="54"/>
      <c r="F125" s="55"/>
      <c r="H125" s="17" t="str">
        <f>IFERROR(VLOOKUP(A125, Registo_Diario_Motorista!$A$2:$M$5001, 13, FALSE), "")</f>
        <v/>
      </c>
      <c r="J125" s="62"/>
      <c r="K125" s="55"/>
      <c r="L125" s="63"/>
      <c r="Q125" s="53"/>
      <c r="R125" s="53"/>
      <c r="S125" s="61"/>
      <c r="T125" s="53"/>
      <c r="W125" s="53"/>
      <c r="X125" s="53"/>
      <c r="Y125" s="55"/>
      <c r="Z125" s="55"/>
      <c r="AA125" s="61"/>
      <c r="AB125" s="53"/>
      <c r="AE125" s="11"/>
      <c r="AF125" s="53"/>
      <c r="AH125" s="53"/>
      <c r="AJ125" s="61"/>
    </row>
    <row r="126" ht="15.75" customHeight="1">
      <c r="A126" s="55"/>
      <c r="C126" s="61"/>
      <c r="D126" s="53"/>
      <c r="E126" s="54"/>
      <c r="F126" s="55"/>
      <c r="H126" s="17" t="str">
        <f>IFERROR(VLOOKUP(A126, Registo_Diario_Motorista!$A$2:$M$5001, 13, FALSE), "")</f>
        <v/>
      </c>
      <c r="J126" s="62"/>
      <c r="K126" s="55"/>
      <c r="L126" s="63"/>
      <c r="Q126" s="53"/>
      <c r="R126" s="53"/>
      <c r="S126" s="61"/>
      <c r="T126" s="53"/>
      <c r="W126" s="53"/>
      <c r="X126" s="53"/>
      <c r="Y126" s="55"/>
      <c r="Z126" s="55"/>
      <c r="AA126" s="61"/>
      <c r="AB126" s="53"/>
      <c r="AE126" s="11"/>
      <c r="AF126" s="53"/>
      <c r="AH126" s="53"/>
      <c r="AJ126" s="61"/>
    </row>
    <row r="127" ht="15.75" customHeight="1">
      <c r="A127" s="55"/>
      <c r="C127" s="61"/>
      <c r="D127" s="53"/>
      <c r="E127" s="54"/>
      <c r="F127" s="55"/>
      <c r="H127" s="17" t="str">
        <f>IFERROR(VLOOKUP(A127, Registo_Diario_Motorista!$A$2:$M$5001, 13, FALSE), "")</f>
        <v/>
      </c>
      <c r="J127" s="62"/>
      <c r="K127" s="55"/>
      <c r="L127" s="63"/>
      <c r="Q127" s="53"/>
      <c r="R127" s="53"/>
      <c r="S127" s="61"/>
      <c r="T127" s="53"/>
      <c r="W127" s="53"/>
      <c r="X127" s="53"/>
      <c r="Y127" s="55"/>
      <c r="Z127" s="55"/>
      <c r="AA127" s="61"/>
      <c r="AB127" s="53"/>
      <c r="AE127" s="11"/>
      <c r="AF127" s="53"/>
      <c r="AH127" s="53"/>
      <c r="AJ127" s="61"/>
    </row>
    <row r="128" ht="15.75" customHeight="1">
      <c r="A128" s="55"/>
      <c r="C128" s="61"/>
      <c r="D128" s="53"/>
      <c r="E128" s="54"/>
      <c r="F128" s="55"/>
      <c r="H128" s="17" t="str">
        <f>IFERROR(VLOOKUP(A128, Registo_Diario_Motorista!$A$2:$M$5001, 13, FALSE), "")</f>
        <v/>
      </c>
      <c r="J128" s="62"/>
      <c r="K128" s="55"/>
      <c r="L128" s="63"/>
      <c r="Q128" s="53"/>
      <c r="R128" s="53"/>
      <c r="S128" s="61"/>
      <c r="T128" s="53"/>
      <c r="W128" s="53"/>
      <c r="X128" s="53"/>
      <c r="Y128" s="55"/>
      <c r="Z128" s="55"/>
      <c r="AA128" s="61"/>
      <c r="AB128" s="53"/>
      <c r="AE128" s="11"/>
      <c r="AF128" s="53"/>
      <c r="AH128" s="53"/>
      <c r="AJ128" s="61"/>
    </row>
    <row r="129" ht="15.75" customHeight="1">
      <c r="A129" s="55"/>
      <c r="C129" s="61"/>
      <c r="D129" s="53"/>
      <c r="E129" s="54"/>
      <c r="F129" s="55"/>
      <c r="H129" s="17" t="str">
        <f>IFERROR(VLOOKUP(A129, Registo_Diario_Motorista!$A$2:$M$5001, 13, FALSE), "")</f>
        <v/>
      </c>
      <c r="J129" s="62"/>
      <c r="K129" s="55"/>
      <c r="L129" s="63"/>
      <c r="Q129" s="53"/>
      <c r="R129" s="53"/>
      <c r="S129" s="61"/>
      <c r="T129" s="53"/>
      <c r="W129" s="53"/>
      <c r="X129" s="53"/>
      <c r="Y129" s="55"/>
      <c r="Z129" s="55"/>
      <c r="AA129" s="61"/>
      <c r="AB129" s="53"/>
      <c r="AE129" s="11"/>
      <c r="AF129" s="53"/>
      <c r="AH129" s="53"/>
      <c r="AJ129" s="61"/>
    </row>
    <row r="130" ht="15.75" customHeight="1">
      <c r="A130" s="55"/>
      <c r="C130" s="61"/>
      <c r="D130" s="53"/>
      <c r="E130" s="54"/>
      <c r="F130" s="55"/>
      <c r="H130" s="17" t="str">
        <f>IFERROR(VLOOKUP(A130, Registo_Diario_Motorista!$A$2:$M$5001, 13, FALSE), "")</f>
        <v/>
      </c>
      <c r="J130" s="62"/>
      <c r="K130" s="55"/>
      <c r="L130" s="63"/>
      <c r="Q130" s="53"/>
      <c r="R130" s="53"/>
      <c r="S130" s="61"/>
      <c r="T130" s="53"/>
      <c r="W130" s="53"/>
      <c r="X130" s="53"/>
      <c r="Y130" s="55"/>
      <c r="Z130" s="55"/>
      <c r="AA130" s="61"/>
      <c r="AB130" s="53"/>
      <c r="AE130" s="11"/>
      <c r="AF130" s="53"/>
      <c r="AH130" s="53"/>
      <c r="AJ130" s="61"/>
    </row>
    <row r="131" ht="15.75" customHeight="1">
      <c r="A131" s="55"/>
      <c r="C131" s="61"/>
      <c r="D131" s="53"/>
      <c r="E131" s="54"/>
      <c r="F131" s="55"/>
      <c r="H131" s="17" t="str">
        <f>IFERROR(VLOOKUP(A131, Registo_Diario_Motorista!$A$2:$M$5001, 13, FALSE), "")</f>
        <v/>
      </c>
      <c r="J131" s="62"/>
      <c r="K131" s="55"/>
      <c r="L131" s="63"/>
      <c r="Q131" s="53"/>
      <c r="R131" s="53"/>
      <c r="S131" s="61"/>
      <c r="T131" s="53"/>
      <c r="W131" s="53"/>
      <c r="X131" s="53"/>
      <c r="Y131" s="55"/>
      <c r="Z131" s="55"/>
      <c r="AA131" s="61"/>
      <c r="AB131" s="53"/>
      <c r="AE131" s="11"/>
      <c r="AF131" s="53"/>
      <c r="AH131" s="53"/>
      <c r="AJ131" s="61"/>
    </row>
    <row r="132" ht="15.75" customHeight="1">
      <c r="A132" s="55"/>
      <c r="C132" s="61"/>
      <c r="D132" s="53"/>
      <c r="E132" s="54"/>
      <c r="F132" s="55"/>
      <c r="H132" s="17" t="str">
        <f>IFERROR(VLOOKUP(A132, Registo_Diario_Motorista!$A$2:$M$5001, 13, FALSE), "")</f>
        <v/>
      </c>
      <c r="J132" s="62"/>
      <c r="K132" s="55"/>
      <c r="L132" s="63"/>
      <c r="Q132" s="53"/>
      <c r="R132" s="53"/>
      <c r="S132" s="61"/>
      <c r="T132" s="53"/>
      <c r="W132" s="53"/>
      <c r="X132" s="53"/>
      <c r="Y132" s="55"/>
      <c r="Z132" s="55"/>
      <c r="AA132" s="61"/>
      <c r="AB132" s="53"/>
      <c r="AE132" s="11"/>
      <c r="AF132" s="53"/>
      <c r="AH132" s="53"/>
      <c r="AJ132" s="61"/>
    </row>
    <row r="133" ht="15.75" customHeight="1">
      <c r="A133" s="55"/>
      <c r="C133" s="61"/>
      <c r="D133" s="53"/>
      <c r="E133" s="54"/>
      <c r="F133" s="55"/>
      <c r="H133" s="17" t="str">
        <f>IFERROR(VLOOKUP(A133, Registo_Diario_Motorista!$A$2:$M$5001, 13, FALSE), "")</f>
        <v/>
      </c>
      <c r="J133" s="62"/>
      <c r="K133" s="55"/>
      <c r="L133" s="63"/>
      <c r="Q133" s="53"/>
      <c r="R133" s="53"/>
      <c r="S133" s="61"/>
      <c r="T133" s="53"/>
      <c r="W133" s="53"/>
      <c r="X133" s="53"/>
      <c r="Y133" s="55"/>
      <c r="Z133" s="55"/>
      <c r="AA133" s="61"/>
      <c r="AB133" s="53"/>
      <c r="AE133" s="11"/>
      <c r="AF133" s="53"/>
      <c r="AH133" s="53"/>
      <c r="AJ133" s="61"/>
    </row>
    <row r="134" ht="15.75" customHeight="1">
      <c r="A134" s="55"/>
      <c r="C134" s="61"/>
      <c r="D134" s="53"/>
      <c r="E134" s="54"/>
      <c r="F134" s="55"/>
      <c r="H134" s="17" t="str">
        <f>IFERROR(VLOOKUP(A134, Registo_Diario_Motorista!$A$2:$M$5001, 13, FALSE), "")</f>
        <v/>
      </c>
      <c r="J134" s="62"/>
      <c r="K134" s="55"/>
      <c r="L134" s="63"/>
      <c r="Q134" s="53"/>
      <c r="R134" s="53"/>
      <c r="S134" s="61"/>
      <c r="T134" s="53"/>
      <c r="W134" s="53"/>
      <c r="X134" s="53"/>
      <c r="Y134" s="55"/>
      <c r="Z134" s="55"/>
      <c r="AA134" s="61"/>
      <c r="AB134" s="53"/>
      <c r="AE134" s="11"/>
      <c r="AF134" s="53"/>
      <c r="AH134" s="53"/>
      <c r="AJ134" s="61"/>
    </row>
    <row r="135" ht="15.75" customHeight="1">
      <c r="A135" s="55"/>
      <c r="C135" s="61"/>
      <c r="D135" s="53"/>
      <c r="E135" s="54"/>
      <c r="F135" s="55"/>
      <c r="H135" s="17" t="str">
        <f>IFERROR(VLOOKUP(A135, Registo_Diario_Motorista!$A$2:$M$5001, 13, FALSE), "")</f>
        <v/>
      </c>
      <c r="J135" s="62"/>
      <c r="K135" s="55"/>
      <c r="L135" s="63"/>
      <c r="Q135" s="53"/>
      <c r="R135" s="53"/>
      <c r="S135" s="61"/>
      <c r="T135" s="53"/>
      <c r="W135" s="53"/>
      <c r="X135" s="53"/>
      <c r="Y135" s="55"/>
      <c r="Z135" s="55"/>
      <c r="AA135" s="61"/>
      <c r="AB135" s="53"/>
      <c r="AE135" s="11"/>
      <c r="AF135" s="53"/>
      <c r="AH135" s="53"/>
      <c r="AJ135" s="61"/>
    </row>
    <row r="136" ht="15.75" customHeight="1">
      <c r="A136" s="55"/>
      <c r="C136" s="61"/>
      <c r="D136" s="53"/>
      <c r="E136" s="54"/>
      <c r="F136" s="55"/>
      <c r="H136" s="17" t="str">
        <f>IFERROR(VLOOKUP(A136, Registo_Diario_Motorista!$A$2:$M$5001, 13, FALSE), "")</f>
        <v/>
      </c>
      <c r="J136" s="62"/>
      <c r="K136" s="55"/>
      <c r="L136" s="63"/>
      <c r="Q136" s="53"/>
      <c r="R136" s="53"/>
      <c r="S136" s="61"/>
      <c r="T136" s="53"/>
      <c r="W136" s="53"/>
      <c r="X136" s="53"/>
      <c r="Y136" s="55"/>
      <c r="Z136" s="55"/>
      <c r="AA136" s="61"/>
      <c r="AB136" s="53"/>
      <c r="AE136" s="11"/>
      <c r="AF136" s="53"/>
      <c r="AH136" s="53"/>
      <c r="AJ136" s="61"/>
    </row>
    <row r="137" ht="15.75" customHeight="1">
      <c r="A137" s="55"/>
      <c r="C137" s="61"/>
      <c r="D137" s="53"/>
      <c r="E137" s="54"/>
      <c r="F137" s="55"/>
      <c r="H137" s="17" t="str">
        <f>IFERROR(VLOOKUP(A137, Registo_Diario_Motorista!$A$2:$M$5001, 13, FALSE), "")</f>
        <v/>
      </c>
      <c r="J137" s="62"/>
      <c r="K137" s="55"/>
      <c r="L137" s="63"/>
      <c r="Q137" s="53"/>
      <c r="R137" s="53"/>
      <c r="S137" s="61"/>
      <c r="T137" s="53"/>
      <c r="W137" s="53"/>
      <c r="X137" s="53"/>
      <c r="Y137" s="55"/>
      <c r="Z137" s="55"/>
      <c r="AA137" s="61"/>
      <c r="AB137" s="53"/>
      <c r="AE137" s="11"/>
      <c r="AF137" s="53"/>
      <c r="AH137" s="53"/>
      <c r="AJ137" s="61"/>
    </row>
    <row r="138" ht="15.75" customHeight="1">
      <c r="A138" s="55"/>
      <c r="C138" s="61"/>
      <c r="D138" s="53"/>
      <c r="E138" s="54"/>
      <c r="F138" s="55"/>
      <c r="H138" s="17" t="str">
        <f>IFERROR(VLOOKUP(A138, Registo_Diario_Motorista!$A$2:$M$5001, 13, FALSE), "")</f>
        <v/>
      </c>
      <c r="J138" s="62"/>
      <c r="K138" s="55"/>
      <c r="L138" s="63"/>
      <c r="Q138" s="53"/>
      <c r="R138" s="53"/>
      <c r="S138" s="61"/>
      <c r="T138" s="53"/>
      <c r="W138" s="53"/>
      <c r="X138" s="53"/>
      <c r="Y138" s="55"/>
      <c r="Z138" s="55"/>
      <c r="AA138" s="61"/>
      <c r="AB138" s="53"/>
      <c r="AE138" s="11"/>
      <c r="AF138" s="53"/>
      <c r="AH138" s="53"/>
      <c r="AJ138" s="61"/>
    </row>
    <row r="139" ht="15.75" customHeight="1">
      <c r="A139" s="55"/>
      <c r="C139" s="61"/>
      <c r="D139" s="53"/>
      <c r="E139" s="54"/>
      <c r="F139" s="55"/>
      <c r="H139" s="17" t="str">
        <f>IFERROR(VLOOKUP(A139, Registo_Diario_Motorista!$A$2:$M$5001, 13, FALSE), "")</f>
        <v/>
      </c>
      <c r="J139" s="62"/>
      <c r="K139" s="55"/>
      <c r="L139" s="63"/>
      <c r="Q139" s="53"/>
      <c r="R139" s="53"/>
      <c r="S139" s="61"/>
      <c r="T139" s="53"/>
      <c r="W139" s="53"/>
      <c r="X139" s="53"/>
      <c r="Y139" s="55"/>
      <c r="Z139" s="55"/>
      <c r="AA139" s="61"/>
      <c r="AB139" s="53"/>
      <c r="AE139" s="11"/>
      <c r="AF139" s="53"/>
      <c r="AH139" s="53"/>
      <c r="AJ139" s="61"/>
    </row>
    <row r="140" ht="15.75" customHeight="1">
      <c r="A140" s="55"/>
      <c r="C140" s="61"/>
      <c r="D140" s="53"/>
      <c r="E140" s="54"/>
      <c r="F140" s="55"/>
      <c r="H140" s="17" t="str">
        <f>IFERROR(VLOOKUP(A140, Registo_Diario_Motorista!$A$2:$M$5001, 13, FALSE), "")</f>
        <v/>
      </c>
      <c r="J140" s="62"/>
      <c r="K140" s="55"/>
      <c r="L140" s="63"/>
      <c r="Q140" s="53"/>
      <c r="R140" s="53"/>
      <c r="S140" s="61"/>
      <c r="T140" s="53"/>
      <c r="W140" s="53"/>
      <c r="X140" s="53"/>
      <c r="Y140" s="55"/>
      <c r="Z140" s="55"/>
      <c r="AA140" s="61"/>
      <c r="AB140" s="53"/>
      <c r="AE140" s="11"/>
      <c r="AF140" s="53"/>
      <c r="AH140" s="53"/>
      <c r="AJ140" s="61"/>
    </row>
    <row r="141" ht="15.75" customHeight="1">
      <c r="A141" s="55"/>
      <c r="C141" s="61"/>
      <c r="D141" s="53"/>
      <c r="E141" s="54"/>
      <c r="F141" s="55"/>
      <c r="H141" s="17" t="str">
        <f>IFERROR(VLOOKUP(A141, Registo_Diario_Motorista!$A$2:$M$5001, 13, FALSE), "")</f>
        <v/>
      </c>
      <c r="J141" s="62"/>
      <c r="K141" s="55"/>
      <c r="L141" s="63"/>
      <c r="Q141" s="53"/>
      <c r="R141" s="53"/>
      <c r="S141" s="61"/>
      <c r="T141" s="53"/>
      <c r="W141" s="53"/>
      <c r="X141" s="53"/>
      <c r="Y141" s="55"/>
      <c r="Z141" s="55"/>
      <c r="AA141" s="61"/>
      <c r="AB141" s="53"/>
      <c r="AE141" s="11"/>
      <c r="AF141" s="53"/>
      <c r="AH141" s="53"/>
      <c r="AJ141" s="61"/>
    </row>
    <row r="142" ht="15.75" customHeight="1">
      <c r="A142" s="55"/>
      <c r="C142" s="61"/>
      <c r="D142" s="53"/>
      <c r="E142" s="54"/>
      <c r="F142" s="55"/>
      <c r="H142" s="17" t="str">
        <f>IFERROR(VLOOKUP(A142, Registo_Diario_Motorista!$A$2:$M$5001, 13, FALSE), "")</f>
        <v/>
      </c>
      <c r="J142" s="62"/>
      <c r="K142" s="55"/>
      <c r="L142" s="63"/>
      <c r="Q142" s="53"/>
      <c r="R142" s="53"/>
      <c r="S142" s="61"/>
      <c r="T142" s="53"/>
      <c r="W142" s="53"/>
      <c r="X142" s="53"/>
      <c r="Y142" s="55"/>
      <c r="Z142" s="55"/>
      <c r="AA142" s="61"/>
      <c r="AB142" s="53"/>
      <c r="AE142" s="11"/>
      <c r="AF142" s="53"/>
      <c r="AH142" s="53"/>
      <c r="AJ142" s="61"/>
    </row>
    <row r="143" ht="15.75" customHeight="1">
      <c r="A143" s="55"/>
      <c r="C143" s="61"/>
      <c r="D143" s="53"/>
      <c r="E143" s="54"/>
      <c r="F143" s="55"/>
      <c r="H143" s="17" t="str">
        <f>IFERROR(VLOOKUP(A143, Registo_Diario_Motorista!$A$2:$M$5001, 13, FALSE), "")</f>
        <v/>
      </c>
      <c r="J143" s="62"/>
      <c r="K143" s="55"/>
      <c r="L143" s="63"/>
      <c r="Q143" s="53"/>
      <c r="R143" s="53"/>
      <c r="S143" s="61"/>
      <c r="T143" s="53"/>
      <c r="W143" s="53"/>
      <c r="X143" s="53"/>
      <c r="Y143" s="55"/>
      <c r="Z143" s="55"/>
      <c r="AA143" s="61"/>
      <c r="AB143" s="53"/>
      <c r="AE143" s="11"/>
      <c r="AF143" s="53"/>
      <c r="AH143" s="53"/>
      <c r="AJ143" s="61"/>
    </row>
    <row r="144" ht="15.75" customHeight="1">
      <c r="A144" s="55"/>
      <c r="C144" s="61"/>
      <c r="D144" s="53"/>
      <c r="E144" s="54"/>
      <c r="F144" s="55"/>
      <c r="H144" s="17" t="str">
        <f>IFERROR(VLOOKUP(A144, Registo_Diario_Motorista!$A$2:$M$5001, 13, FALSE), "")</f>
        <v/>
      </c>
      <c r="J144" s="62"/>
      <c r="K144" s="55"/>
      <c r="L144" s="63"/>
      <c r="Q144" s="53"/>
      <c r="R144" s="53"/>
      <c r="S144" s="61"/>
      <c r="T144" s="53"/>
      <c r="W144" s="53"/>
      <c r="X144" s="53"/>
      <c r="Y144" s="55"/>
      <c r="Z144" s="55"/>
      <c r="AA144" s="61"/>
      <c r="AB144" s="53"/>
      <c r="AE144" s="11"/>
      <c r="AF144" s="53"/>
      <c r="AH144" s="53"/>
      <c r="AJ144" s="61"/>
    </row>
    <row r="145" ht="15.75" customHeight="1">
      <c r="A145" s="55"/>
      <c r="C145" s="61"/>
      <c r="D145" s="53"/>
      <c r="E145" s="54"/>
      <c r="F145" s="55"/>
      <c r="H145" s="17" t="str">
        <f>IFERROR(VLOOKUP(A145, Registo_Diario_Motorista!$A$2:$M$5001, 13, FALSE), "")</f>
        <v/>
      </c>
      <c r="J145" s="62"/>
      <c r="K145" s="55"/>
      <c r="L145" s="63"/>
      <c r="Q145" s="53"/>
      <c r="R145" s="53"/>
      <c r="S145" s="61"/>
      <c r="T145" s="53"/>
      <c r="W145" s="53"/>
      <c r="X145" s="53"/>
      <c r="Y145" s="55"/>
      <c r="Z145" s="55"/>
      <c r="AA145" s="61"/>
      <c r="AB145" s="53"/>
      <c r="AE145" s="11"/>
      <c r="AF145" s="53"/>
      <c r="AH145" s="53"/>
      <c r="AJ145" s="61"/>
    </row>
    <row r="146" ht="15.75" customHeight="1">
      <c r="A146" s="55"/>
      <c r="C146" s="61"/>
      <c r="D146" s="53"/>
      <c r="E146" s="54"/>
      <c r="F146" s="55"/>
      <c r="H146" s="17" t="str">
        <f>IFERROR(VLOOKUP(A146, Registo_Diario_Motorista!$A$2:$M$5001, 13, FALSE), "")</f>
        <v/>
      </c>
      <c r="J146" s="62"/>
      <c r="K146" s="55"/>
      <c r="L146" s="63"/>
      <c r="Q146" s="53"/>
      <c r="R146" s="53"/>
      <c r="S146" s="61"/>
      <c r="T146" s="53"/>
      <c r="W146" s="53"/>
      <c r="X146" s="53"/>
      <c r="Y146" s="55"/>
      <c r="Z146" s="55"/>
      <c r="AA146" s="61"/>
      <c r="AB146" s="53"/>
      <c r="AE146" s="11"/>
      <c r="AF146" s="53"/>
      <c r="AH146" s="53"/>
      <c r="AJ146" s="61"/>
    </row>
    <row r="147" ht="15.75" customHeight="1">
      <c r="A147" s="55"/>
      <c r="C147" s="61"/>
      <c r="D147" s="53"/>
      <c r="E147" s="54"/>
      <c r="F147" s="55"/>
      <c r="H147" s="17" t="str">
        <f>IFERROR(VLOOKUP(A147, Registo_Diario_Motorista!$A$2:$M$5001, 13, FALSE), "")</f>
        <v/>
      </c>
      <c r="J147" s="62"/>
      <c r="K147" s="55"/>
      <c r="L147" s="63"/>
      <c r="Q147" s="53"/>
      <c r="R147" s="53"/>
      <c r="S147" s="61"/>
      <c r="T147" s="53"/>
      <c r="W147" s="53"/>
      <c r="X147" s="53"/>
      <c r="Y147" s="55"/>
      <c r="Z147" s="55"/>
      <c r="AA147" s="61"/>
      <c r="AB147" s="53"/>
      <c r="AE147" s="11"/>
      <c r="AF147" s="53"/>
      <c r="AH147" s="53"/>
      <c r="AJ147" s="61"/>
    </row>
    <row r="148" ht="15.75" customHeight="1">
      <c r="A148" s="55"/>
      <c r="C148" s="61"/>
      <c r="D148" s="53"/>
      <c r="E148" s="54"/>
      <c r="F148" s="55"/>
      <c r="H148" s="17" t="str">
        <f>IFERROR(VLOOKUP(A148, Registo_Diario_Motorista!$A$2:$M$5001, 13, FALSE), "")</f>
        <v/>
      </c>
      <c r="J148" s="62"/>
      <c r="K148" s="55"/>
      <c r="L148" s="63"/>
      <c r="Q148" s="53"/>
      <c r="R148" s="53"/>
      <c r="S148" s="61"/>
      <c r="T148" s="53"/>
      <c r="W148" s="53"/>
      <c r="X148" s="53"/>
      <c r="Y148" s="55"/>
      <c r="Z148" s="55"/>
      <c r="AA148" s="61"/>
      <c r="AB148" s="53"/>
      <c r="AE148" s="11"/>
      <c r="AF148" s="53"/>
      <c r="AH148" s="53"/>
      <c r="AJ148" s="61"/>
    </row>
    <row r="149" ht="15.75" customHeight="1">
      <c r="A149" s="55"/>
      <c r="C149" s="61"/>
      <c r="D149" s="53"/>
      <c r="E149" s="54"/>
      <c r="F149" s="55"/>
      <c r="H149" s="17" t="str">
        <f>IFERROR(VLOOKUP(A149, Registo_Diario_Motorista!$A$2:$M$5001, 13, FALSE), "")</f>
        <v/>
      </c>
      <c r="J149" s="62"/>
      <c r="K149" s="55"/>
      <c r="L149" s="63"/>
      <c r="Q149" s="53"/>
      <c r="R149" s="53"/>
      <c r="S149" s="61"/>
      <c r="T149" s="53"/>
      <c r="W149" s="53"/>
      <c r="X149" s="53"/>
      <c r="Y149" s="55"/>
      <c r="Z149" s="55"/>
      <c r="AA149" s="61"/>
      <c r="AB149" s="53"/>
      <c r="AE149" s="11"/>
      <c r="AF149" s="53"/>
      <c r="AH149" s="53"/>
      <c r="AJ149" s="61"/>
    </row>
    <row r="150" ht="15.75" customHeight="1">
      <c r="A150" s="55"/>
      <c r="C150" s="61"/>
      <c r="D150" s="53"/>
      <c r="E150" s="54"/>
      <c r="F150" s="55"/>
      <c r="H150" s="17" t="str">
        <f>IFERROR(VLOOKUP(A150, Registo_Diario_Motorista!$A$2:$M$5001, 13, FALSE), "")</f>
        <v/>
      </c>
      <c r="J150" s="62"/>
      <c r="K150" s="55"/>
      <c r="L150" s="63"/>
      <c r="Q150" s="53"/>
      <c r="R150" s="53"/>
      <c r="S150" s="61"/>
      <c r="T150" s="53"/>
      <c r="W150" s="53"/>
      <c r="X150" s="53"/>
      <c r="Y150" s="55"/>
      <c r="Z150" s="55"/>
      <c r="AA150" s="61"/>
      <c r="AB150" s="53"/>
      <c r="AE150" s="11"/>
      <c r="AF150" s="53"/>
      <c r="AH150" s="53"/>
      <c r="AJ150" s="61"/>
    </row>
    <row r="151" ht="15.75" customHeight="1">
      <c r="A151" s="55"/>
      <c r="C151" s="61"/>
      <c r="D151" s="53"/>
      <c r="E151" s="54"/>
      <c r="F151" s="55"/>
      <c r="H151" s="17" t="str">
        <f>IFERROR(VLOOKUP(A151, Registo_Diario_Motorista!$A$2:$M$5001, 13, FALSE), "")</f>
        <v/>
      </c>
      <c r="J151" s="62"/>
      <c r="K151" s="55"/>
      <c r="L151" s="63"/>
      <c r="Q151" s="53"/>
      <c r="R151" s="53"/>
      <c r="S151" s="61"/>
      <c r="T151" s="53"/>
      <c r="W151" s="53"/>
      <c r="X151" s="53"/>
      <c r="Y151" s="55"/>
      <c r="Z151" s="55"/>
      <c r="AA151" s="61"/>
      <c r="AB151" s="53"/>
      <c r="AE151" s="11"/>
      <c r="AF151" s="53"/>
      <c r="AH151" s="53"/>
      <c r="AJ151" s="61"/>
    </row>
    <row r="152" ht="15.75" customHeight="1">
      <c r="A152" s="55"/>
      <c r="C152" s="61"/>
      <c r="D152" s="53"/>
      <c r="E152" s="54"/>
      <c r="F152" s="55"/>
      <c r="H152" s="17" t="str">
        <f>IFERROR(VLOOKUP(A152, Registo_Diario_Motorista!$A$2:$M$5001, 13, FALSE), "")</f>
        <v/>
      </c>
      <c r="J152" s="62"/>
      <c r="K152" s="55"/>
      <c r="L152" s="63"/>
      <c r="Q152" s="53"/>
      <c r="R152" s="53"/>
      <c r="S152" s="61"/>
      <c r="T152" s="53"/>
      <c r="W152" s="53"/>
      <c r="X152" s="53"/>
      <c r="Y152" s="55"/>
      <c r="Z152" s="55"/>
      <c r="AA152" s="61"/>
      <c r="AB152" s="53"/>
      <c r="AE152" s="11"/>
      <c r="AF152" s="53"/>
      <c r="AH152" s="53"/>
      <c r="AJ152" s="61"/>
    </row>
    <row r="153" ht="15.75" customHeight="1">
      <c r="A153" s="55"/>
      <c r="C153" s="61"/>
      <c r="D153" s="53"/>
      <c r="E153" s="54"/>
      <c r="F153" s="55"/>
      <c r="H153" s="17" t="str">
        <f>IFERROR(VLOOKUP(A153, Registo_Diario_Motorista!$A$2:$M$5001, 13, FALSE), "")</f>
        <v/>
      </c>
      <c r="J153" s="62"/>
      <c r="K153" s="55"/>
      <c r="L153" s="63"/>
      <c r="Q153" s="53"/>
      <c r="R153" s="53"/>
      <c r="S153" s="61"/>
      <c r="T153" s="53"/>
      <c r="W153" s="53"/>
      <c r="X153" s="53"/>
      <c r="Y153" s="55"/>
      <c r="Z153" s="55"/>
      <c r="AA153" s="61"/>
      <c r="AB153" s="53"/>
      <c r="AE153" s="11"/>
      <c r="AF153" s="53"/>
      <c r="AH153" s="53"/>
      <c r="AJ153" s="61"/>
    </row>
    <row r="154" ht="15.75" customHeight="1">
      <c r="A154" s="55"/>
      <c r="C154" s="61"/>
      <c r="D154" s="53"/>
      <c r="E154" s="54"/>
      <c r="F154" s="55"/>
      <c r="H154" s="17" t="str">
        <f>IFERROR(VLOOKUP(A154, Registo_Diario_Motorista!$A$2:$M$5001, 13, FALSE), "")</f>
        <v/>
      </c>
      <c r="J154" s="62"/>
      <c r="K154" s="55"/>
      <c r="L154" s="63"/>
      <c r="Q154" s="53"/>
      <c r="R154" s="53"/>
      <c r="S154" s="61"/>
      <c r="T154" s="53"/>
      <c r="W154" s="53"/>
      <c r="X154" s="53"/>
      <c r="Y154" s="55"/>
      <c r="Z154" s="55"/>
      <c r="AA154" s="61"/>
      <c r="AB154" s="53"/>
      <c r="AE154" s="11"/>
      <c r="AF154" s="53"/>
      <c r="AH154" s="53"/>
      <c r="AJ154" s="61"/>
    </row>
    <row r="155" ht="15.75" customHeight="1">
      <c r="A155" s="55"/>
      <c r="C155" s="61"/>
      <c r="D155" s="53"/>
      <c r="E155" s="54"/>
      <c r="F155" s="55"/>
      <c r="H155" s="17" t="str">
        <f>IFERROR(VLOOKUP(A155, Registo_Diario_Motorista!$A$2:$M$5001, 13, FALSE), "")</f>
        <v/>
      </c>
      <c r="J155" s="62"/>
      <c r="K155" s="55"/>
      <c r="L155" s="63"/>
      <c r="Q155" s="53"/>
      <c r="R155" s="53"/>
      <c r="S155" s="61"/>
      <c r="T155" s="53"/>
      <c r="W155" s="53"/>
      <c r="X155" s="53"/>
      <c r="Y155" s="55"/>
      <c r="Z155" s="55"/>
      <c r="AA155" s="61"/>
      <c r="AB155" s="53"/>
      <c r="AE155" s="11"/>
      <c r="AF155" s="53"/>
      <c r="AH155" s="53"/>
      <c r="AJ155" s="61"/>
    </row>
    <row r="156" ht="15.75" customHeight="1">
      <c r="A156" s="55"/>
      <c r="C156" s="61"/>
      <c r="D156" s="53"/>
      <c r="E156" s="54"/>
      <c r="F156" s="55"/>
      <c r="H156" s="17" t="str">
        <f>IFERROR(VLOOKUP(A156, Registo_Diario_Motorista!$A$2:$M$5001, 13, FALSE), "")</f>
        <v/>
      </c>
      <c r="J156" s="62"/>
      <c r="K156" s="55"/>
      <c r="L156" s="63"/>
      <c r="Q156" s="53"/>
      <c r="R156" s="53"/>
      <c r="S156" s="61"/>
      <c r="T156" s="53"/>
      <c r="W156" s="53"/>
      <c r="X156" s="53"/>
      <c r="Y156" s="55"/>
      <c r="Z156" s="55"/>
      <c r="AA156" s="61"/>
      <c r="AB156" s="53"/>
      <c r="AE156" s="11"/>
      <c r="AF156" s="53"/>
      <c r="AH156" s="53"/>
      <c r="AJ156" s="61"/>
    </row>
    <row r="157" ht="15.75" customHeight="1">
      <c r="A157" s="55"/>
      <c r="C157" s="61"/>
      <c r="D157" s="53"/>
      <c r="E157" s="54"/>
      <c r="F157" s="55"/>
      <c r="H157" s="17" t="str">
        <f>IFERROR(VLOOKUP(A157, Registo_Diario_Motorista!$A$2:$M$5001, 13, FALSE), "")</f>
        <v/>
      </c>
      <c r="J157" s="62"/>
      <c r="K157" s="55"/>
      <c r="L157" s="63"/>
      <c r="Q157" s="53"/>
      <c r="R157" s="53"/>
      <c r="S157" s="61"/>
      <c r="T157" s="53"/>
      <c r="W157" s="53"/>
      <c r="X157" s="53"/>
      <c r="Y157" s="55"/>
      <c r="Z157" s="55"/>
      <c r="AA157" s="61"/>
      <c r="AB157" s="53"/>
      <c r="AE157" s="11"/>
      <c r="AF157" s="53"/>
      <c r="AH157" s="53"/>
      <c r="AJ157" s="61"/>
    </row>
    <row r="158" ht="15.75" customHeight="1">
      <c r="A158" s="55"/>
      <c r="C158" s="61"/>
      <c r="D158" s="53"/>
      <c r="E158" s="54"/>
      <c r="F158" s="55"/>
      <c r="H158" s="17" t="str">
        <f>IFERROR(VLOOKUP(A158, Registo_Diario_Motorista!$A$2:$M$5001, 13, FALSE), "")</f>
        <v/>
      </c>
      <c r="J158" s="62"/>
      <c r="K158" s="55"/>
      <c r="L158" s="63"/>
      <c r="Q158" s="53"/>
      <c r="R158" s="53"/>
      <c r="S158" s="61"/>
      <c r="T158" s="53"/>
      <c r="W158" s="53"/>
      <c r="X158" s="53"/>
      <c r="Y158" s="55"/>
      <c r="Z158" s="55"/>
      <c r="AA158" s="61"/>
      <c r="AB158" s="53"/>
      <c r="AE158" s="11"/>
      <c r="AF158" s="53"/>
      <c r="AH158" s="53"/>
      <c r="AJ158" s="61"/>
    </row>
    <row r="159" ht="15.75" customHeight="1">
      <c r="A159" s="55"/>
      <c r="C159" s="61"/>
      <c r="D159" s="53"/>
      <c r="E159" s="54"/>
      <c r="F159" s="55"/>
      <c r="H159" s="17" t="str">
        <f>IFERROR(VLOOKUP(A159, Registo_Diario_Motorista!$A$2:$M$5001, 13, FALSE), "")</f>
        <v/>
      </c>
      <c r="J159" s="62"/>
      <c r="K159" s="55"/>
      <c r="L159" s="63"/>
      <c r="Q159" s="53"/>
      <c r="R159" s="53"/>
      <c r="S159" s="61"/>
      <c r="T159" s="53"/>
      <c r="W159" s="53"/>
      <c r="X159" s="53"/>
      <c r="Y159" s="55"/>
      <c r="Z159" s="55"/>
      <c r="AA159" s="61"/>
      <c r="AB159" s="53"/>
      <c r="AE159" s="11"/>
      <c r="AF159" s="53"/>
      <c r="AH159" s="53"/>
      <c r="AJ159" s="61"/>
    </row>
    <row r="160" ht="15.75" customHeight="1">
      <c r="A160" s="55"/>
      <c r="C160" s="61"/>
      <c r="D160" s="53"/>
      <c r="E160" s="54"/>
      <c r="F160" s="55"/>
      <c r="H160" s="17" t="str">
        <f>IFERROR(VLOOKUP(A160, Registo_Diario_Motorista!$A$2:$M$5001, 13, FALSE), "")</f>
        <v/>
      </c>
      <c r="J160" s="62"/>
      <c r="K160" s="55"/>
      <c r="L160" s="63"/>
      <c r="Q160" s="53"/>
      <c r="R160" s="53"/>
      <c r="S160" s="61"/>
      <c r="T160" s="53"/>
      <c r="W160" s="53"/>
      <c r="X160" s="53"/>
      <c r="Y160" s="55"/>
      <c r="Z160" s="55"/>
      <c r="AA160" s="61"/>
      <c r="AB160" s="53"/>
      <c r="AE160" s="11"/>
      <c r="AF160" s="53"/>
      <c r="AH160" s="53"/>
      <c r="AJ160" s="61"/>
    </row>
    <row r="161" ht="15.75" customHeight="1">
      <c r="A161" s="55"/>
      <c r="C161" s="61"/>
      <c r="D161" s="53"/>
      <c r="E161" s="54"/>
      <c r="F161" s="55"/>
      <c r="H161" s="17" t="str">
        <f>IFERROR(VLOOKUP(A161, Registo_Diario_Motorista!$A$2:$M$5001, 13, FALSE), "")</f>
        <v/>
      </c>
      <c r="J161" s="62"/>
      <c r="K161" s="55"/>
      <c r="L161" s="63"/>
      <c r="Q161" s="53"/>
      <c r="R161" s="53"/>
      <c r="S161" s="61"/>
      <c r="T161" s="53"/>
      <c r="W161" s="53"/>
      <c r="X161" s="53"/>
      <c r="Y161" s="55"/>
      <c r="Z161" s="55"/>
      <c r="AA161" s="61"/>
      <c r="AB161" s="53"/>
      <c r="AE161" s="11"/>
      <c r="AF161" s="53"/>
      <c r="AH161" s="53"/>
      <c r="AJ161" s="61"/>
    </row>
    <row r="162" ht="15.75" customHeight="1">
      <c r="A162" s="55"/>
      <c r="C162" s="61"/>
      <c r="D162" s="53"/>
      <c r="E162" s="54"/>
      <c r="F162" s="55"/>
      <c r="H162" s="17" t="str">
        <f>IFERROR(VLOOKUP(A162, Registo_Diario_Motorista!$A$2:$M$5001, 13, FALSE), "")</f>
        <v/>
      </c>
      <c r="J162" s="62"/>
      <c r="K162" s="55"/>
      <c r="L162" s="63"/>
      <c r="Q162" s="53"/>
      <c r="R162" s="53"/>
      <c r="S162" s="61"/>
      <c r="T162" s="53"/>
      <c r="W162" s="53"/>
      <c r="X162" s="53"/>
      <c r="Y162" s="55"/>
      <c r="Z162" s="55"/>
      <c r="AA162" s="61"/>
      <c r="AB162" s="53"/>
      <c r="AE162" s="11"/>
      <c r="AF162" s="53"/>
      <c r="AH162" s="53"/>
      <c r="AJ162" s="61"/>
    </row>
    <row r="163" ht="15.75" customHeight="1">
      <c r="A163" s="55"/>
      <c r="C163" s="61"/>
      <c r="D163" s="53"/>
      <c r="E163" s="54"/>
      <c r="F163" s="55"/>
      <c r="H163" s="17" t="str">
        <f>IFERROR(VLOOKUP(A163, Registo_Diario_Motorista!$A$2:$M$5001, 13, FALSE), "")</f>
        <v/>
      </c>
      <c r="J163" s="62"/>
      <c r="K163" s="55"/>
      <c r="L163" s="63"/>
      <c r="Q163" s="53"/>
      <c r="R163" s="53"/>
      <c r="S163" s="61"/>
      <c r="T163" s="53"/>
      <c r="W163" s="53"/>
      <c r="X163" s="53"/>
      <c r="Y163" s="55"/>
      <c r="Z163" s="55"/>
      <c r="AA163" s="61"/>
      <c r="AB163" s="53"/>
      <c r="AE163" s="11"/>
      <c r="AF163" s="53"/>
      <c r="AH163" s="53"/>
      <c r="AJ163" s="61"/>
    </row>
    <row r="164" ht="15.75" customHeight="1">
      <c r="A164" s="55"/>
      <c r="C164" s="61"/>
      <c r="D164" s="53"/>
      <c r="E164" s="54"/>
      <c r="F164" s="55"/>
      <c r="H164" s="17" t="str">
        <f>IFERROR(VLOOKUP(A164, Registo_Diario_Motorista!$A$2:$M$5001, 13, FALSE), "")</f>
        <v/>
      </c>
      <c r="J164" s="62"/>
      <c r="K164" s="55"/>
      <c r="L164" s="63"/>
      <c r="Q164" s="53"/>
      <c r="R164" s="53"/>
      <c r="S164" s="61"/>
      <c r="T164" s="53"/>
      <c r="W164" s="53"/>
      <c r="X164" s="53"/>
      <c r="Y164" s="55"/>
      <c r="Z164" s="55"/>
      <c r="AA164" s="61"/>
      <c r="AB164" s="53"/>
      <c r="AE164" s="11"/>
      <c r="AF164" s="53"/>
      <c r="AH164" s="53"/>
      <c r="AJ164" s="61"/>
    </row>
    <row r="165" ht="15.75" customHeight="1">
      <c r="A165" s="55"/>
      <c r="C165" s="61"/>
      <c r="D165" s="53"/>
      <c r="E165" s="54"/>
      <c r="F165" s="55"/>
      <c r="H165" s="17" t="str">
        <f>IFERROR(VLOOKUP(A165, Registo_Diario_Motorista!$A$2:$M$5001, 13, FALSE), "")</f>
        <v/>
      </c>
      <c r="J165" s="62"/>
      <c r="K165" s="55"/>
      <c r="L165" s="63"/>
      <c r="Q165" s="53"/>
      <c r="R165" s="53"/>
      <c r="S165" s="61"/>
      <c r="T165" s="53"/>
      <c r="W165" s="53"/>
      <c r="X165" s="53"/>
      <c r="Y165" s="55"/>
      <c r="Z165" s="55"/>
      <c r="AA165" s="61"/>
      <c r="AB165" s="53"/>
      <c r="AE165" s="11"/>
      <c r="AF165" s="53"/>
      <c r="AH165" s="53"/>
      <c r="AJ165" s="61"/>
    </row>
    <row r="166" ht="15.75" customHeight="1">
      <c r="A166" s="55"/>
      <c r="C166" s="61"/>
      <c r="D166" s="53"/>
      <c r="E166" s="54"/>
      <c r="F166" s="55"/>
      <c r="H166" s="17" t="str">
        <f>IFERROR(VLOOKUP(A166, Registo_Diario_Motorista!$A$2:$M$5001, 13, FALSE), "")</f>
        <v/>
      </c>
      <c r="J166" s="62"/>
      <c r="K166" s="55"/>
      <c r="L166" s="63"/>
      <c r="Q166" s="53"/>
      <c r="R166" s="53"/>
      <c r="S166" s="61"/>
      <c r="T166" s="53"/>
      <c r="W166" s="53"/>
      <c r="X166" s="53"/>
      <c r="Y166" s="55"/>
      <c r="Z166" s="55"/>
      <c r="AA166" s="61"/>
      <c r="AB166" s="53"/>
      <c r="AE166" s="11"/>
      <c r="AF166" s="53"/>
      <c r="AH166" s="53"/>
      <c r="AJ166" s="61"/>
    </row>
    <row r="167" ht="15.75" customHeight="1">
      <c r="A167" s="55"/>
      <c r="C167" s="61"/>
      <c r="D167" s="53"/>
      <c r="E167" s="54"/>
      <c r="F167" s="55"/>
      <c r="H167" s="17" t="str">
        <f>IFERROR(VLOOKUP(A167, Registo_Diario_Motorista!$A$2:$M$5001, 13, FALSE), "")</f>
        <v/>
      </c>
      <c r="J167" s="62"/>
      <c r="K167" s="55"/>
      <c r="L167" s="63"/>
      <c r="Q167" s="53"/>
      <c r="R167" s="53"/>
      <c r="S167" s="61"/>
      <c r="T167" s="53"/>
      <c r="W167" s="53"/>
      <c r="X167" s="53"/>
      <c r="Y167" s="55"/>
      <c r="Z167" s="55"/>
      <c r="AA167" s="61"/>
      <c r="AB167" s="53"/>
      <c r="AE167" s="11"/>
      <c r="AF167" s="53"/>
      <c r="AH167" s="53"/>
      <c r="AJ167" s="61"/>
    </row>
    <row r="168" ht="15.75" customHeight="1">
      <c r="A168" s="55"/>
      <c r="C168" s="61"/>
      <c r="D168" s="53"/>
      <c r="E168" s="54"/>
      <c r="F168" s="55"/>
      <c r="H168" s="17" t="str">
        <f>IFERROR(VLOOKUP(A168, Registo_Diario_Motorista!$A$2:$M$5001, 13, FALSE), "")</f>
        <v/>
      </c>
      <c r="J168" s="62"/>
      <c r="K168" s="55"/>
      <c r="L168" s="63"/>
      <c r="Q168" s="53"/>
      <c r="R168" s="53"/>
      <c r="S168" s="61"/>
      <c r="T168" s="53"/>
      <c r="W168" s="53"/>
      <c r="X168" s="53"/>
      <c r="Y168" s="55"/>
      <c r="Z168" s="55"/>
      <c r="AA168" s="61"/>
      <c r="AB168" s="53"/>
      <c r="AE168" s="11"/>
      <c r="AF168" s="53"/>
      <c r="AH168" s="53"/>
      <c r="AJ168" s="61"/>
    </row>
    <row r="169" ht="15.75" customHeight="1">
      <c r="A169" s="55"/>
      <c r="C169" s="61"/>
      <c r="D169" s="53"/>
      <c r="E169" s="54"/>
      <c r="F169" s="55"/>
      <c r="H169" s="17" t="str">
        <f>IFERROR(VLOOKUP(A169, Registo_Diario_Motorista!$A$2:$M$5001, 13, FALSE), "")</f>
        <v/>
      </c>
      <c r="J169" s="62"/>
      <c r="K169" s="55"/>
      <c r="L169" s="63"/>
      <c r="Q169" s="53"/>
      <c r="R169" s="53"/>
      <c r="S169" s="61"/>
      <c r="T169" s="53"/>
      <c r="W169" s="53"/>
      <c r="X169" s="53"/>
      <c r="Y169" s="55"/>
      <c r="Z169" s="55"/>
      <c r="AA169" s="61"/>
      <c r="AB169" s="53"/>
      <c r="AE169" s="11"/>
      <c r="AF169" s="53"/>
      <c r="AH169" s="53"/>
      <c r="AJ169" s="61"/>
    </row>
    <row r="170" ht="15.75" customHeight="1">
      <c r="A170" s="55"/>
      <c r="C170" s="61"/>
      <c r="D170" s="53"/>
      <c r="E170" s="54"/>
      <c r="F170" s="55"/>
      <c r="H170" s="17" t="str">
        <f>IFERROR(VLOOKUP(A170, Registo_Diario_Motorista!$A$2:$M$5001, 13, FALSE), "")</f>
        <v/>
      </c>
      <c r="J170" s="62"/>
      <c r="K170" s="55"/>
      <c r="L170" s="63"/>
      <c r="Q170" s="53"/>
      <c r="R170" s="53"/>
      <c r="S170" s="61"/>
      <c r="T170" s="53"/>
      <c r="W170" s="53"/>
      <c r="X170" s="53"/>
      <c r="Y170" s="55"/>
      <c r="Z170" s="55"/>
      <c r="AA170" s="61"/>
      <c r="AB170" s="53"/>
      <c r="AE170" s="11"/>
      <c r="AF170" s="53"/>
      <c r="AH170" s="53"/>
      <c r="AJ170" s="61"/>
    </row>
    <row r="171" ht="15.75" customHeight="1">
      <c r="A171" s="55"/>
      <c r="C171" s="61"/>
      <c r="D171" s="53"/>
      <c r="E171" s="54"/>
      <c r="F171" s="55"/>
      <c r="H171" s="17" t="str">
        <f>IFERROR(VLOOKUP(A171, Registo_Diario_Motorista!$A$2:$M$5001, 13, FALSE), "")</f>
        <v/>
      </c>
      <c r="J171" s="62"/>
      <c r="K171" s="55"/>
      <c r="L171" s="63"/>
      <c r="Q171" s="53"/>
      <c r="R171" s="53"/>
      <c r="S171" s="61"/>
      <c r="T171" s="53"/>
      <c r="W171" s="53"/>
      <c r="X171" s="53"/>
      <c r="Y171" s="55"/>
      <c r="Z171" s="55"/>
      <c r="AA171" s="61"/>
      <c r="AB171" s="53"/>
      <c r="AE171" s="11"/>
      <c r="AF171" s="53"/>
      <c r="AH171" s="53"/>
      <c r="AJ171" s="61"/>
    </row>
    <row r="172" ht="15.75" customHeight="1">
      <c r="A172" s="55"/>
      <c r="C172" s="61"/>
      <c r="D172" s="53"/>
      <c r="E172" s="54"/>
      <c r="F172" s="55"/>
      <c r="H172" s="17" t="str">
        <f>IFERROR(VLOOKUP(A172, Registo_Diario_Motorista!$A$2:$M$5001, 13, FALSE), "")</f>
        <v/>
      </c>
      <c r="J172" s="62"/>
      <c r="K172" s="55"/>
      <c r="L172" s="63"/>
      <c r="Q172" s="53"/>
      <c r="R172" s="53"/>
      <c r="S172" s="61"/>
      <c r="T172" s="53"/>
      <c r="W172" s="53"/>
      <c r="X172" s="53"/>
      <c r="Y172" s="55"/>
      <c r="Z172" s="55"/>
      <c r="AA172" s="61"/>
      <c r="AB172" s="53"/>
      <c r="AE172" s="11"/>
      <c r="AF172" s="53"/>
      <c r="AH172" s="53"/>
      <c r="AJ172" s="61"/>
    </row>
    <row r="173" ht="15.75" customHeight="1">
      <c r="A173" s="55"/>
      <c r="C173" s="61"/>
      <c r="D173" s="53"/>
      <c r="E173" s="54"/>
      <c r="F173" s="55"/>
      <c r="H173" s="17" t="str">
        <f>IFERROR(VLOOKUP(A173, Registo_Diario_Motorista!$A$2:$M$5001, 13, FALSE), "")</f>
        <v/>
      </c>
      <c r="J173" s="62"/>
      <c r="K173" s="55"/>
      <c r="L173" s="63"/>
      <c r="Q173" s="53"/>
      <c r="R173" s="53"/>
      <c r="S173" s="61"/>
      <c r="T173" s="53"/>
      <c r="W173" s="53"/>
      <c r="X173" s="53"/>
      <c r="Y173" s="55"/>
      <c r="Z173" s="55"/>
      <c r="AA173" s="61"/>
      <c r="AB173" s="53"/>
      <c r="AE173" s="11"/>
      <c r="AF173" s="53"/>
      <c r="AH173" s="53"/>
      <c r="AJ173" s="61"/>
    </row>
    <row r="174" ht="15.75" customHeight="1">
      <c r="A174" s="55"/>
      <c r="C174" s="61"/>
      <c r="D174" s="53"/>
      <c r="E174" s="54"/>
      <c r="F174" s="55"/>
      <c r="H174" s="17" t="str">
        <f>IFERROR(VLOOKUP(A174, Registo_Diario_Motorista!$A$2:$M$5001, 13, FALSE), "")</f>
        <v/>
      </c>
      <c r="J174" s="62"/>
      <c r="K174" s="55"/>
      <c r="L174" s="63"/>
      <c r="Q174" s="53"/>
      <c r="R174" s="53"/>
      <c r="S174" s="61"/>
      <c r="T174" s="53"/>
      <c r="W174" s="53"/>
      <c r="X174" s="53"/>
      <c r="Y174" s="55"/>
      <c r="Z174" s="55"/>
      <c r="AA174" s="61"/>
      <c r="AB174" s="53"/>
      <c r="AE174" s="11"/>
      <c r="AF174" s="53"/>
      <c r="AH174" s="53"/>
      <c r="AJ174" s="61"/>
    </row>
    <row r="175" ht="15.75" customHeight="1">
      <c r="A175" s="55"/>
      <c r="C175" s="61"/>
      <c r="D175" s="53"/>
      <c r="E175" s="54"/>
      <c r="F175" s="55"/>
      <c r="H175" s="17" t="str">
        <f>IFERROR(VLOOKUP(A175, Registo_Diario_Motorista!$A$2:$M$5001, 13, FALSE), "")</f>
        <v/>
      </c>
      <c r="J175" s="62"/>
      <c r="K175" s="55"/>
      <c r="L175" s="63"/>
      <c r="Q175" s="53"/>
      <c r="R175" s="53"/>
      <c r="S175" s="61"/>
      <c r="T175" s="53"/>
      <c r="W175" s="53"/>
      <c r="X175" s="53"/>
      <c r="Y175" s="55"/>
      <c r="Z175" s="55"/>
      <c r="AA175" s="61"/>
      <c r="AB175" s="53"/>
      <c r="AE175" s="11"/>
      <c r="AF175" s="53"/>
      <c r="AH175" s="53"/>
      <c r="AJ175" s="61"/>
    </row>
    <row r="176" ht="15.75" customHeight="1">
      <c r="A176" s="55"/>
      <c r="C176" s="61"/>
      <c r="D176" s="53"/>
      <c r="E176" s="54"/>
      <c r="F176" s="55"/>
      <c r="H176" s="17" t="str">
        <f>IFERROR(VLOOKUP(A176, Registo_Diario_Motorista!$A$2:$M$5001, 13, FALSE), "")</f>
        <v/>
      </c>
      <c r="J176" s="62"/>
      <c r="K176" s="55"/>
      <c r="L176" s="63"/>
      <c r="Q176" s="53"/>
      <c r="R176" s="53"/>
      <c r="S176" s="61"/>
      <c r="T176" s="53"/>
      <c r="W176" s="53"/>
      <c r="X176" s="53"/>
      <c r="Y176" s="55"/>
      <c r="Z176" s="55"/>
      <c r="AA176" s="61"/>
      <c r="AB176" s="53"/>
      <c r="AE176" s="11"/>
      <c r="AF176" s="53"/>
      <c r="AH176" s="53"/>
      <c r="AJ176" s="61"/>
    </row>
    <row r="177" ht="15.75" customHeight="1">
      <c r="A177" s="55"/>
      <c r="C177" s="61"/>
      <c r="D177" s="53"/>
      <c r="E177" s="54"/>
      <c r="F177" s="55"/>
      <c r="H177" s="17" t="str">
        <f>IFERROR(VLOOKUP(A177, Registo_Diario_Motorista!$A$2:$M$5001, 13, FALSE), "")</f>
        <v/>
      </c>
      <c r="J177" s="62"/>
      <c r="K177" s="55"/>
      <c r="L177" s="63"/>
      <c r="Q177" s="53"/>
      <c r="R177" s="53"/>
      <c r="S177" s="61"/>
      <c r="T177" s="53"/>
      <c r="W177" s="53"/>
      <c r="X177" s="53"/>
      <c r="Y177" s="55"/>
      <c r="Z177" s="55"/>
      <c r="AA177" s="61"/>
      <c r="AB177" s="53"/>
      <c r="AE177" s="11"/>
      <c r="AF177" s="53"/>
      <c r="AH177" s="53"/>
      <c r="AJ177" s="61"/>
    </row>
    <row r="178" ht="15.75" customHeight="1">
      <c r="A178" s="55"/>
      <c r="C178" s="61"/>
      <c r="D178" s="53"/>
      <c r="E178" s="54"/>
      <c r="F178" s="55"/>
      <c r="H178" s="17" t="str">
        <f>IFERROR(VLOOKUP(A178, Registo_Diario_Motorista!$A$2:$M$5001, 13, FALSE), "")</f>
        <v/>
      </c>
      <c r="J178" s="62"/>
      <c r="K178" s="55"/>
      <c r="L178" s="63"/>
      <c r="Q178" s="53"/>
      <c r="R178" s="53"/>
      <c r="S178" s="61"/>
      <c r="T178" s="53"/>
      <c r="W178" s="53"/>
      <c r="X178" s="53"/>
      <c r="Y178" s="55"/>
      <c r="Z178" s="55"/>
      <c r="AA178" s="61"/>
      <c r="AB178" s="53"/>
      <c r="AE178" s="11"/>
      <c r="AF178" s="53"/>
      <c r="AH178" s="53"/>
      <c r="AJ178" s="61"/>
    </row>
    <row r="179" ht="15.75" customHeight="1">
      <c r="A179" s="55"/>
      <c r="C179" s="61"/>
      <c r="D179" s="53"/>
      <c r="E179" s="54"/>
      <c r="F179" s="55"/>
      <c r="H179" s="17" t="str">
        <f>IFERROR(VLOOKUP(A179, Registo_Diario_Motorista!$A$2:$M$5001, 13, FALSE), "")</f>
        <v/>
      </c>
      <c r="J179" s="62"/>
      <c r="K179" s="55"/>
      <c r="L179" s="63"/>
      <c r="Q179" s="53"/>
      <c r="R179" s="53"/>
      <c r="S179" s="61"/>
      <c r="T179" s="53"/>
      <c r="W179" s="53"/>
      <c r="X179" s="53"/>
      <c r="Y179" s="55"/>
      <c r="Z179" s="55"/>
      <c r="AA179" s="61"/>
      <c r="AB179" s="53"/>
      <c r="AE179" s="11"/>
      <c r="AF179" s="53"/>
      <c r="AH179" s="53"/>
      <c r="AJ179" s="61"/>
    </row>
    <row r="180" ht="15.75" customHeight="1">
      <c r="A180" s="55"/>
      <c r="C180" s="61"/>
      <c r="D180" s="53"/>
      <c r="E180" s="54"/>
      <c r="F180" s="55"/>
      <c r="H180" s="17" t="str">
        <f>IFERROR(VLOOKUP(A180, Registo_Diario_Motorista!$A$2:$M$5001, 13, FALSE), "")</f>
        <v/>
      </c>
      <c r="J180" s="62"/>
      <c r="K180" s="55"/>
      <c r="L180" s="63"/>
      <c r="Q180" s="53"/>
      <c r="R180" s="53"/>
      <c r="S180" s="61"/>
      <c r="T180" s="53"/>
      <c r="W180" s="53"/>
      <c r="X180" s="53"/>
      <c r="Y180" s="55"/>
      <c r="Z180" s="55"/>
      <c r="AA180" s="61"/>
      <c r="AB180" s="53"/>
      <c r="AE180" s="11"/>
      <c r="AF180" s="53"/>
      <c r="AH180" s="53"/>
      <c r="AJ180" s="61"/>
    </row>
    <row r="181" ht="15.75" customHeight="1">
      <c r="A181" s="55"/>
      <c r="C181" s="61"/>
      <c r="D181" s="53"/>
      <c r="E181" s="54"/>
      <c r="F181" s="55"/>
      <c r="H181" s="17" t="str">
        <f>IFERROR(VLOOKUP(A181, Registo_Diario_Motorista!$A$2:$M$5001, 13, FALSE), "")</f>
        <v/>
      </c>
      <c r="J181" s="62"/>
      <c r="K181" s="55"/>
      <c r="L181" s="63"/>
      <c r="Q181" s="53"/>
      <c r="R181" s="53"/>
      <c r="S181" s="61"/>
      <c r="T181" s="53"/>
      <c r="W181" s="53"/>
      <c r="X181" s="53"/>
      <c r="Y181" s="55"/>
      <c r="Z181" s="55"/>
      <c r="AA181" s="61"/>
      <c r="AB181" s="53"/>
      <c r="AE181" s="11"/>
      <c r="AF181" s="53"/>
      <c r="AH181" s="53"/>
      <c r="AJ181" s="61"/>
    </row>
    <row r="182" ht="15.75" customHeight="1">
      <c r="A182" s="55"/>
      <c r="C182" s="61"/>
      <c r="D182" s="53"/>
      <c r="E182" s="54"/>
      <c r="F182" s="55"/>
      <c r="H182" s="17" t="str">
        <f>IFERROR(VLOOKUP(A182, Registo_Diario_Motorista!$A$2:$M$5001, 13, FALSE), "")</f>
        <v/>
      </c>
      <c r="J182" s="62"/>
      <c r="K182" s="55"/>
      <c r="L182" s="63"/>
      <c r="Q182" s="53"/>
      <c r="R182" s="53"/>
      <c r="S182" s="61"/>
      <c r="T182" s="53"/>
      <c r="W182" s="53"/>
      <c r="X182" s="53"/>
      <c r="Y182" s="55"/>
      <c r="Z182" s="55"/>
      <c r="AA182" s="61"/>
      <c r="AB182" s="53"/>
      <c r="AE182" s="11"/>
      <c r="AF182" s="53"/>
      <c r="AH182" s="53"/>
      <c r="AJ182" s="61"/>
    </row>
    <row r="183" ht="15.75" customHeight="1">
      <c r="A183" s="55"/>
      <c r="C183" s="61"/>
      <c r="D183" s="53"/>
      <c r="E183" s="54"/>
      <c r="F183" s="55"/>
      <c r="H183" s="17" t="str">
        <f>IFERROR(VLOOKUP(A183, Registo_Diario_Motorista!$A$2:$M$5001, 13, FALSE), "")</f>
        <v/>
      </c>
      <c r="J183" s="62"/>
      <c r="K183" s="55"/>
      <c r="L183" s="63"/>
      <c r="Q183" s="53"/>
      <c r="R183" s="53"/>
      <c r="S183" s="61"/>
      <c r="T183" s="53"/>
      <c r="W183" s="53"/>
      <c r="X183" s="53"/>
      <c r="Y183" s="55"/>
      <c r="Z183" s="55"/>
      <c r="AA183" s="61"/>
      <c r="AB183" s="53"/>
      <c r="AE183" s="11"/>
      <c r="AF183" s="53"/>
      <c r="AH183" s="53"/>
      <c r="AJ183" s="61"/>
    </row>
    <row r="184" ht="15.75" customHeight="1">
      <c r="A184" s="55"/>
      <c r="C184" s="61"/>
      <c r="D184" s="53"/>
      <c r="E184" s="54"/>
      <c r="F184" s="55"/>
      <c r="H184" s="17" t="str">
        <f>IFERROR(VLOOKUP(A184, Registo_Diario_Motorista!$A$2:$M$5001, 13, FALSE), "")</f>
        <v/>
      </c>
      <c r="J184" s="62"/>
      <c r="K184" s="55"/>
      <c r="L184" s="63"/>
      <c r="Q184" s="53"/>
      <c r="R184" s="53"/>
      <c r="S184" s="61"/>
      <c r="T184" s="53"/>
      <c r="W184" s="53"/>
      <c r="X184" s="53"/>
      <c r="Y184" s="55"/>
      <c r="Z184" s="55"/>
      <c r="AA184" s="61"/>
      <c r="AB184" s="53"/>
      <c r="AE184" s="11"/>
      <c r="AF184" s="53"/>
      <c r="AH184" s="53"/>
      <c r="AJ184" s="61"/>
    </row>
    <row r="185" ht="15.75" customHeight="1">
      <c r="A185" s="55"/>
      <c r="C185" s="61"/>
      <c r="D185" s="53"/>
      <c r="E185" s="54"/>
      <c r="F185" s="55"/>
      <c r="H185" s="17" t="str">
        <f>IFERROR(VLOOKUP(A185, Registo_Diario_Motorista!$A$2:$M$5001, 13, FALSE), "")</f>
        <v/>
      </c>
      <c r="J185" s="62"/>
      <c r="K185" s="55"/>
      <c r="L185" s="63"/>
      <c r="Q185" s="53"/>
      <c r="R185" s="53"/>
      <c r="S185" s="61"/>
      <c r="T185" s="53"/>
      <c r="W185" s="53"/>
      <c r="X185" s="53"/>
      <c r="Y185" s="55"/>
      <c r="Z185" s="55"/>
      <c r="AA185" s="61"/>
      <c r="AB185" s="53"/>
      <c r="AE185" s="11"/>
      <c r="AF185" s="53"/>
      <c r="AH185" s="53"/>
      <c r="AJ185" s="61"/>
    </row>
    <row r="186" ht="15.75" customHeight="1">
      <c r="A186" s="55"/>
      <c r="C186" s="61"/>
      <c r="D186" s="53"/>
      <c r="E186" s="54"/>
      <c r="F186" s="55"/>
      <c r="H186" s="17" t="str">
        <f>IFERROR(VLOOKUP(A186, Registo_Diario_Motorista!$A$2:$M$5001, 13, FALSE), "")</f>
        <v/>
      </c>
      <c r="J186" s="62"/>
      <c r="K186" s="55"/>
      <c r="L186" s="63"/>
      <c r="Q186" s="53"/>
      <c r="R186" s="53"/>
      <c r="S186" s="61"/>
      <c r="T186" s="53"/>
      <c r="W186" s="53"/>
      <c r="X186" s="53"/>
      <c r="Y186" s="55"/>
      <c r="Z186" s="55"/>
      <c r="AA186" s="61"/>
      <c r="AB186" s="53"/>
      <c r="AE186" s="11"/>
      <c r="AF186" s="53"/>
      <c r="AH186" s="53"/>
      <c r="AJ186" s="61"/>
    </row>
    <row r="187" ht="15.75" customHeight="1">
      <c r="A187" s="55"/>
      <c r="C187" s="61"/>
      <c r="D187" s="53"/>
      <c r="E187" s="54"/>
      <c r="F187" s="55"/>
      <c r="H187" s="17" t="str">
        <f>IFERROR(VLOOKUP(A187, Registo_Diario_Motorista!$A$2:$M$5001, 13, FALSE), "")</f>
        <v/>
      </c>
      <c r="J187" s="62"/>
      <c r="K187" s="55"/>
      <c r="L187" s="63"/>
      <c r="Q187" s="53"/>
      <c r="R187" s="53"/>
      <c r="S187" s="61"/>
      <c r="T187" s="53"/>
      <c r="W187" s="53"/>
      <c r="X187" s="53"/>
      <c r="Y187" s="55"/>
      <c r="Z187" s="55"/>
      <c r="AA187" s="61"/>
      <c r="AB187" s="53"/>
      <c r="AE187" s="11"/>
      <c r="AF187" s="53"/>
      <c r="AH187" s="53"/>
      <c r="AJ187" s="61"/>
    </row>
    <row r="188" ht="15.75" customHeight="1">
      <c r="A188" s="55"/>
      <c r="C188" s="61"/>
      <c r="D188" s="53"/>
      <c r="E188" s="54"/>
      <c r="F188" s="55"/>
      <c r="H188" s="17" t="str">
        <f>IFERROR(VLOOKUP(A188, Registo_Diario_Motorista!$A$2:$M$5001, 13, FALSE), "")</f>
        <v/>
      </c>
      <c r="J188" s="62"/>
      <c r="K188" s="55"/>
      <c r="L188" s="63"/>
      <c r="Q188" s="53"/>
      <c r="R188" s="53"/>
      <c r="S188" s="61"/>
      <c r="T188" s="53"/>
      <c r="W188" s="53"/>
      <c r="X188" s="53"/>
      <c r="Y188" s="55"/>
      <c r="Z188" s="55"/>
      <c r="AA188" s="61"/>
      <c r="AB188" s="53"/>
      <c r="AE188" s="11"/>
      <c r="AF188" s="53"/>
      <c r="AH188" s="53"/>
      <c r="AJ188" s="61"/>
    </row>
    <row r="189" ht="15.75" customHeight="1">
      <c r="A189" s="55"/>
      <c r="C189" s="61"/>
      <c r="D189" s="53"/>
      <c r="E189" s="54"/>
      <c r="F189" s="55"/>
      <c r="H189" s="17" t="str">
        <f>IFERROR(VLOOKUP(A189, Registo_Diario_Motorista!$A$2:$M$5001, 13, FALSE), "")</f>
        <v/>
      </c>
      <c r="J189" s="62"/>
      <c r="K189" s="55"/>
      <c r="L189" s="63"/>
      <c r="Q189" s="53"/>
      <c r="R189" s="53"/>
      <c r="S189" s="61"/>
      <c r="T189" s="53"/>
      <c r="W189" s="53"/>
      <c r="X189" s="53"/>
      <c r="Y189" s="55"/>
      <c r="Z189" s="55"/>
      <c r="AA189" s="61"/>
      <c r="AB189" s="53"/>
      <c r="AE189" s="11"/>
      <c r="AF189" s="53"/>
      <c r="AH189" s="53"/>
      <c r="AJ189" s="61"/>
    </row>
    <row r="190" ht="15.75" customHeight="1">
      <c r="A190" s="55"/>
      <c r="C190" s="61"/>
      <c r="D190" s="53"/>
      <c r="E190" s="54"/>
      <c r="F190" s="55"/>
      <c r="H190" s="17" t="str">
        <f>IFERROR(VLOOKUP(A190, Registo_Diario_Motorista!$A$2:$M$5001, 13, FALSE), "")</f>
        <v/>
      </c>
      <c r="J190" s="62"/>
      <c r="K190" s="55"/>
      <c r="L190" s="63"/>
      <c r="Q190" s="53"/>
      <c r="R190" s="53"/>
      <c r="S190" s="61"/>
      <c r="T190" s="53"/>
      <c r="W190" s="53"/>
      <c r="X190" s="53"/>
      <c r="Y190" s="55"/>
      <c r="Z190" s="55"/>
      <c r="AA190" s="61"/>
      <c r="AB190" s="53"/>
      <c r="AE190" s="11"/>
      <c r="AF190" s="53"/>
      <c r="AH190" s="53"/>
      <c r="AJ190" s="61"/>
    </row>
    <row r="191" ht="15.75" customHeight="1">
      <c r="A191" s="55"/>
      <c r="C191" s="61"/>
      <c r="D191" s="53"/>
      <c r="E191" s="54"/>
      <c r="F191" s="55"/>
      <c r="H191" s="17" t="str">
        <f>IFERROR(VLOOKUP(A191, Registo_Diario_Motorista!$A$2:$M$5001, 13, FALSE), "")</f>
        <v/>
      </c>
      <c r="J191" s="62"/>
      <c r="K191" s="55"/>
      <c r="L191" s="63"/>
      <c r="Q191" s="53"/>
      <c r="R191" s="53"/>
      <c r="S191" s="61"/>
      <c r="T191" s="53"/>
      <c r="W191" s="53"/>
      <c r="X191" s="53"/>
      <c r="Y191" s="55"/>
      <c r="Z191" s="55"/>
      <c r="AA191" s="61"/>
      <c r="AB191" s="53"/>
      <c r="AE191" s="11"/>
      <c r="AF191" s="53"/>
      <c r="AH191" s="53"/>
      <c r="AJ191" s="61"/>
    </row>
    <row r="192" ht="15.75" customHeight="1">
      <c r="A192" s="55"/>
      <c r="C192" s="61"/>
      <c r="D192" s="53"/>
      <c r="E192" s="54"/>
      <c r="F192" s="55"/>
      <c r="H192" s="17" t="str">
        <f>IFERROR(VLOOKUP(A192, Registo_Diario_Motorista!$A$2:$M$5001, 13, FALSE), "")</f>
        <v/>
      </c>
      <c r="J192" s="62"/>
      <c r="K192" s="55"/>
      <c r="L192" s="63"/>
      <c r="Q192" s="53"/>
      <c r="R192" s="53"/>
      <c r="S192" s="61"/>
      <c r="T192" s="53"/>
      <c r="W192" s="53"/>
      <c r="X192" s="53"/>
      <c r="Y192" s="55"/>
      <c r="Z192" s="55"/>
      <c r="AA192" s="61"/>
      <c r="AB192" s="53"/>
      <c r="AE192" s="11"/>
      <c r="AF192" s="53"/>
      <c r="AH192" s="53"/>
      <c r="AJ192" s="61"/>
    </row>
    <row r="193" ht="15.75" customHeight="1">
      <c r="A193" s="55"/>
      <c r="C193" s="61"/>
      <c r="D193" s="53"/>
      <c r="E193" s="54"/>
      <c r="F193" s="55"/>
      <c r="H193" s="17" t="str">
        <f>IFERROR(VLOOKUP(A193, Registo_Diario_Motorista!$A$2:$M$5001, 13, FALSE), "")</f>
        <v/>
      </c>
      <c r="J193" s="62"/>
      <c r="K193" s="55"/>
      <c r="L193" s="63"/>
      <c r="Q193" s="53"/>
      <c r="R193" s="53"/>
      <c r="S193" s="61"/>
      <c r="T193" s="53"/>
      <c r="W193" s="53"/>
      <c r="X193" s="53"/>
      <c r="Y193" s="55"/>
      <c r="Z193" s="55"/>
      <c r="AA193" s="61"/>
      <c r="AB193" s="53"/>
      <c r="AE193" s="11"/>
      <c r="AF193" s="53"/>
      <c r="AH193" s="53"/>
      <c r="AJ193" s="61"/>
    </row>
    <row r="194" ht="15.75" customHeight="1">
      <c r="A194" s="55"/>
      <c r="C194" s="61"/>
      <c r="D194" s="53"/>
      <c r="E194" s="54"/>
      <c r="F194" s="55"/>
      <c r="H194" s="17" t="str">
        <f>IFERROR(VLOOKUP(A194, Registo_Diario_Motorista!$A$2:$M$5001, 13, FALSE), "")</f>
        <v/>
      </c>
      <c r="J194" s="62"/>
      <c r="K194" s="55"/>
      <c r="L194" s="63"/>
      <c r="Q194" s="53"/>
      <c r="R194" s="53"/>
      <c r="S194" s="61"/>
      <c r="T194" s="53"/>
      <c r="W194" s="53"/>
      <c r="X194" s="53"/>
      <c r="Y194" s="55"/>
      <c r="Z194" s="55"/>
      <c r="AA194" s="61"/>
      <c r="AB194" s="53"/>
      <c r="AE194" s="11"/>
      <c r="AF194" s="53"/>
      <c r="AH194" s="53"/>
      <c r="AJ194" s="61"/>
    </row>
    <row r="195" ht="15.75" customHeight="1">
      <c r="A195" s="55"/>
      <c r="C195" s="61"/>
      <c r="D195" s="53"/>
      <c r="E195" s="54"/>
      <c r="F195" s="55"/>
      <c r="H195" s="17" t="str">
        <f>IFERROR(VLOOKUP(A195, Registo_Diario_Motorista!$A$2:$M$5001, 13, FALSE), "")</f>
        <v/>
      </c>
      <c r="J195" s="62"/>
      <c r="K195" s="55"/>
      <c r="L195" s="63"/>
      <c r="Q195" s="53"/>
      <c r="R195" s="53"/>
      <c r="S195" s="61"/>
      <c r="T195" s="53"/>
      <c r="W195" s="53"/>
      <c r="X195" s="53"/>
      <c r="Y195" s="55"/>
      <c r="Z195" s="55"/>
      <c r="AA195" s="61"/>
      <c r="AB195" s="53"/>
      <c r="AE195" s="11"/>
      <c r="AF195" s="53"/>
      <c r="AH195" s="53"/>
      <c r="AJ195" s="61"/>
    </row>
    <row r="196" ht="15.75" customHeight="1">
      <c r="A196" s="55"/>
      <c r="C196" s="61"/>
      <c r="D196" s="53"/>
      <c r="E196" s="54"/>
      <c r="F196" s="55"/>
      <c r="H196" s="17" t="str">
        <f>IFERROR(VLOOKUP(A196, Registo_Diario_Motorista!$A$2:$M$5001, 13, FALSE), "")</f>
        <v/>
      </c>
      <c r="J196" s="62"/>
      <c r="K196" s="55"/>
      <c r="L196" s="63"/>
      <c r="Q196" s="53"/>
      <c r="R196" s="53"/>
      <c r="S196" s="61"/>
      <c r="T196" s="53"/>
      <c r="W196" s="53"/>
      <c r="X196" s="53"/>
      <c r="Y196" s="55"/>
      <c r="Z196" s="55"/>
      <c r="AA196" s="61"/>
      <c r="AB196" s="53"/>
      <c r="AE196" s="11"/>
      <c r="AF196" s="53"/>
      <c r="AH196" s="53"/>
      <c r="AJ196" s="61"/>
    </row>
    <row r="197" ht="15.75" customHeight="1">
      <c r="A197" s="55"/>
      <c r="C197" s="61"/>
      <c r="D197" s="53"/>
      <c r="E197" s="54"/>
      <c r="F197" s="55"/>
      <c r="H197" s="17" t="str">
        <f>IFERROR(VLOOKUP(A197, Registo_Diario_Motorista!$A$2:$M$5001, 13, FALSE), "")</f>
        <v/>
      </c>
      <c r="J197" s="62"/>
      <c r="K197" s="55"/>
      <c r="L197" s="63"/>
      <c r="Q197" s="53"/>
      <c r="R197" s="53"/>
      <c r="S197" s="61"/>
      <c r="T197" s="53"/>
      <c r="W197" s="53"/>
      <c r="X197" s="53"/>
      <c r="Y197" s="55"/>
      <c r="Z197" s="55"/>
      <c r="AA197" s="61"/>
      <c r="AB197" s="53"/>
      <c r="AE197" s="11"/>
      <c r="AF197" s="53"/>
      <c r="AH197" s="53"/>
      <c r="AJ197" s="61"/>
    </row>
    <row r="198" ht="15.75" customHeight="1">
      <c r="A198" s="55"/>
      <c r="C198" s="61"/>
      <c r="D198" s="53"/>
      <c r="E198" s="54"/>
      <c r="F198" s="55"/>
      <c r="H198" s="17" t="str">
        <f>IFERROR(VLOOKUP(A198, Registo_Diario_Motorista!$A$2:$M$5001, 13, FALSE), "")</f>
        <v/>
      </c>
      <c r="J198" s="62"/>
      <c r="K198" s="55"/>
      <c r="L198" s="63"/>
      <c r="Q198" s="53"/>
      <c r="R198" s="53"/>
      <c r="S198" s="61"/>
      <c r="T198" s="53"/>
      <c r="W198" s="53"/>
      <c r="X198" s="53"/>
      <c r="Y198" s="55"/>
      <c r="Z198" s="55"/>
      <c r="AA198" s="61"/>
      <c r="AB198" s="53"/>
      <c r="AE198" s="11"/>
      <c r="AF198" s="53"/>
      <c r="AH198" s="53"/>
      <c r="AJ198" s="61"/>
    </row>
    <row r="199" ht="15.75" customHeight="1">
      <c r="A199" s="55"/>
      <c r="C199" s="61"/>
      <c r="D199" s="53"/>
      <c r="E199" s="54"/>
      <c r="F199" s="55"/>
      <c r="H199" s="17" t="str">
        <f>IFERROR(VLOOKUP(A199, Registo_Diario_Motorista!$A$2:$M$5001, 13, FALSE), "")</f>
        <v/>
      </c>
      <c r="J199" s="62"/>
      <c r="K199" s="55"/>
      <c r="L199" s="63"/>
      <c r="Q199" s="53"/>
      <c r="R199" s="53"/>
      <c r="S199" s="61"/>
      <c r="T199" s="53"/>
      <c r="W199" s="53"/>
      <c r="X199" s="53"/>
      <c r="Y199" s="55"/>
      <c r="Z199" s="55"/>
      <c r="AA199" s="61"/>
      <c r="AB199" s="53"/>
      <c r="AE199" s="11"/>
      <c r="AF199" s="53"/>
      <c r="AH199" s="53"/>
      <c r="AJ199" s="61"/>
    </row>
    <row r="200" ht="15.75" customHeight="1">
      <c r="A200" s="55"/>
      <c r="C200" s="61"/>
      <c r="D200" s="53"/>
      <c r="E200" s="54"/>
      <c r="F200" s="55"/>
      <c r="H200" s="17" t="str">
        <f>IFERROR(VLOOKUP(A200, Registo_Diario_Motorista!$A$2:$M$5001, 13, FALSE), "")</f>
        <v/>
      </c>
      <c r="J200" s="62"/>
      <c r="K200" s="55"/>
      <c r="L200" s="63"/>
      <c r="Q200" s="53"/>
      <c r="R200" s="53"/>
      <c r="S200" s="61"/>
      <c r="T200" s="53"/>
      <c r="W200" s="53"/>
      <c r="X200" s="53"/>
      <c r="Y200" s="55"/>
      <c r="Z200" s="55"/>
      <c r="AA200" s="61"/>
      <c r="AB200" s="53"/>
      <c r="AE200" s="11"/>
      <c r="AF200" s="53"/>
      <c r="AH200" s="53"/>
      <c r="AJ200" s="61"/>
    </row>
    <row r="201" ht="15.75" customHeight="1">
      <c r="A201" s="55"/>
      <c r="C201" s="61"/>
      <c r="D201" s="53"/>
      <c r="E201" s="54"/>
      <c r="F201" s="55"/>
      <c r="H201" s="17" t="str">
        <f>IFERROR(VLOOKUP(A201, Registo_Diario_Motorista!$A$2:$M$5001, 13, FALSE), "")</f>
        <v/>
      </c>
      <c r="J201" s="62"/>
      <c r="K201" s="55"/>
      <c r="L201" s="63"/>
      <c r="Q201" s="53"/>
      <c r="R201" s="53"/>
      <c r="S201" s="61"/>
      <c r="T201" s="53"/>
      <c r="W201" s="53"/>
      <c r="X201" s="53"/>
      <c r="Y201" s="55"/>
      <c r="Z201" s="55"/>
      <c r="AA201" s="61"/>
      <c r="AB201" s="53"/>
      <c r="AE201" s="11"/>
      <c r="AF201" s="53"/>
      <c r="AH201" s="53"/>
      <c r="AJ201" s="61"/>
    </row>
    <row r="202" ht="15.75" customHeight="1">
      <c r="A202" s="55"/>
      <c r="C202" s="61"/>
      <c r="D202" s="53"/>
      <c r="E202" s="54"/>
      <c r="F202" s="55"/>
      <c r="H202" s="17" t="str">
        <f>IFERROR(VLOOKUP(A202, Registo_Diario_Motorista!$A$2:$M$5001, 13, FALSE), "")</f>
        <v/>
      </c>
      <c r="J202" s="62"/>
      <c r="K202" s="55"/>
      <c r="L202" s="63"/>
      <c r="Q202" s="53"/>
      <c r="R202" s="53"/>
      <c r="S202" s="61"/>
      <c r="T202" s="53"/>
      <c r="W202" s="53"/>
      <c r="X202" s="53"/>
      <c r="Y202" s="55"/>
      <c r="Z202" s="55"/>
      <c r="AA202" s="61"/>
      <c r="AB202" s="53"/>
      <c r="AE202" s="11"/>
      <c r="AF202" s="53"/>
      <c r="AH202" s="53"/>
      <c r="AJ202" s="61"/>
    </row>
    <row r="203" ht="15.75" customHeight="1">
      <c r="A203" s="55"/>
      <c r="C203" s="61"/>
      <c r="D203" s="53"/>
      <c r="E203" s="54"/>
      <c r="F203" s="55"/>
      <c r="H203" s="17" t="str">
        <f>IFERROR(VLOOKUP(A203, Registo_Diario_Motorista!$A$2:$M$5001, 13, FALSE), "")</f>
        <v/>
      </c>
      <c r="J203" s="62"/>
      <c r="K203" s="55"/>
      <c r="L203" s="63"/>
      <c r="Q203" s="53"/>
      <c r="R203" s="53"/>
      <c r="S203" s="61"/>
      <c r="T203" s="53"/>
      <c r="W203" s="53"/>
      <c r="X203" s="53"/>
      <c r="Y203" s="55"/>
      <c r="Z203" s="55"/>
      <c r="AA203" s="61"/>
      <c r="AB203" s="53"/>
      <c r="AE203" s="11"/>
      <c r="AF203" s="53"/>
      <c r="AH203" s="53"/>
      <c r="AJ203" s="61"/>
    </row>
    <row r="204" ht="15.75" customHeight="1">
      <c r="A204" s="55"/>
      <c r="C204" s="61"/>
      <c r="D204" s="53"/>
      <c r="E204" s="54"/>
      <c r="F204" s="55"/>
      <c r="H204" s="17" t="str">
        <f>IFERROR(VLOOKUP(A204, Registo_Diario_Motorista!$A$2:$M$5001, 13, FALSE), "")</f>
        <v/>
      </c>
      <c r="J204" s="62"/>
      <c r="K204" s="55"/>
      <c r="L204" s="63"/>
      <c r="Q204" s="53"/>
      <c r="R204" s="53"/>
      <c r="S204" s="61"/>
      <c r="T204" s="53"/>
      <c r="W204" s="53"/>
      <c r="X204" s="53"/>
      <c r="Y204" s="55"/>
      <c r="Z204" s="55"/>
      <c r="AA204" s="61"/>
      <c r="AB204" s="53"/>
      <c r="AE204" s="11"/>
      <c r="AF204" s="53"/>
      <c r="AH204" s="53"/>
      <c r="AJ204" s="61"/>
    </row>
    <row r="205" ht="15.75" customHeight="1">
      <c r="A205" s="55"/>
      <c r="C205" s="61"/>
      <c r="D205" s="53"/>
      <c r="E205" s="54"/>
      <c r="F205" s="55"/>
      <c r="H205" s="17" t="str">
        <f>IFERROR(VLOOKUP(A205, Registo_Diario_Motorista!$A$2:$M$5001, 13, FALSE), "")</f>
        <v/>
      </c>
      <c r="J205" s="62"/>
      <c r="K205" s="55"/>
      <c r="L205" s="63"/>
      <c r="Q205" s="53"/>
      <c r="R205" s="53"/>
      <c r="S205" s="61"/>
      <c r="T205" s="53"/>
      <c r="W205" s="53"/>
      <c r="X205" s="53"/>
      <c r="Y205" s="55"/>
      <c r="Z205" s="55"/>
      <c r="AA205" s="61"/>
      <c r="AB205" s="53"/>
      <c r="AE205" s="11"/>
      <c r="AF205" s="53"/>
      <c r="AH205" s="53"/>
      <c r="AJ205" s="61"/>
    </row>
    <row r="206" ht="15.75" customHeight="1">
      <c r="A206" s="55"/>
      <c r="C206" s="61"/>
      <c r="D206" s="53"/>
      <c r="E206" s="54"/>
      <c r="F206" s="55"/>
      <c r="H206" s="17" t="str">
        <f>IFERROR(VLOOKUP(A206, Registo_Diario_Motorista!$A$2:$M$5001, 13, FALSE), "")</f>
        <v/>
      </c>
      <c r="J206" s="62"/>
      <c r="K206" s="55"/>
      <c r="L206" s="63"/>
      <c r="Q206" s="53"/>
      <c r="R206" s="53"/>
      <c r="S206" s="61"/>
      <c r="T206" s="53"/>
      <c r="W206" s="53"/>
      <c r="X206" s="53"/>
      <c r="Y206" s="55"/>
      <c r="Z206" s="55"/>
      <c r="AA206" s="61"/>
      <c r="AB206" s="53"/>
      <c r="AE206" s="11"/>
      <c r="AF206" s="53"/>
      <c r="AH206" s="53"/>
      <c r="AJ206" s="61"/>
    </row>
    <row r="207" ht="15.75" customHeight="1">
      <c r="A207" s="55"/>
      <c r="C207" s="61"/>
      <c r="D207" s="53"/>
      <c r="E207" s="54"/>
      <c r="F207" s="55"/>
      <c r="H207" s="17" t="str">
        <f>IFERROR(VLOOKUP(A207, Registo_Diario_Motorista!$A$2:$M$5001, 13, FALSE), "")</f>
        <v/>
      </c>
      <c r="J207" s="62"/>
      <c r="K207" s="55"/>
      <c r="L207" s="63"/>
      <c r="Q207" s="53"/>
      <c r="R207" s="53"/>
      <c r="S207" s="61"/>
      <c r="T207" s="53"/>
      <c r="W207" s="53"/>
      <c r="X207" s="53"/>
      <c r="Y207" s="55"/>
      <c r="Z207" s="55"/>
      <c r="AA207" s="61"/>
      <c r="AB207" s="53"/>
      <c r="AE207" s="11"/>
      <c r="AF207" s="53"/>
      <c r="AH207" s="53"/>
      <c r="AJ207" s="61"/>
    </row>
    <row r="208" ht="15.75" customHeight="1">
      <c r="A208" s="55"/>
      <c r="C208" s="61"/>
      <c r="D208" s="53"/>
      <c r="E208" s="54"/>
      <c r="F208" s="55"/>
      <c r="H208" s="17" t="str">
        <f>IFERROR(VLOOKUP(A208, Registo_Diario_Motorista!$A$2:$M$5001, 13, FALSE), "")</f>
        <v/>
      </c>
      <c r="J208" s="62"/>
      <c r="K208" s="55"/>
      <c r="L208" s="63"/>
      <c r="Q208" s="53"/>
      <c r="R208" s="53"/>
      <c r="S208" s="61"/>
      <c r="T208" s="53"/>
      <c r="W208" s="53"/>
      <c r="X208" s="53"/>
      <c r="Y208" s="55"/>
      <c r="Z208" s="55"/>
      <c r="AA208" s="61"/>
      <c r="AB208" s="53"/>
      <c r="AE208" s="11"/>
      <c r="AF208" s="53"/>
      <c r="AH208" s="53"/>
      <c r="AJ208" s="61"/>
    </row>
    <row r="209" ht="15.75" customHeight="1">
      <c r="A209" s="55"/>
      <c r="C209" s="61"/>
      <c r="D209" s="53"/>
      <c r="E209" s="54"/>
      <c r="F209" s="55"/>
      <c r="H209" s="17" t="str">
        <f>IFERROR(VLOOKUP(A209, Registo_Diario_Motorista!$A$2:$M$5001, 13, FALSE), "")</f>
        <v/>
      </c>
      <c r="J209" s="62"/>
      <c r="K209" s="55"/>
      <c r="L209" s="63"/>
      <c r="Q209" s="53"/>
      <c r="R209" s="53"/>
      <c r="S209" s="61"/>
      <c r="T209" s="53"/>
      <c r="W209" s="53"/>
      <c r="X209" s="53"/>
      <c r="Y209" s="55"/>
      <c r="Z209" s="55"/>
      <c r="AA209" s="61"/>
      <c r="AB209" s="53"/>
      <c r="AE209" s="11"/>
      <c r="AF209" s="53"/>
      <c r="AH209" s="53"/>
      <c r="AJ209" s="61"/>
    </row>
    <row r="210" ht="15.75" customHeight="1">
      <c r="A210" s="55"/>
      <c r="C210" s="55"/>
      <c r="E210" s="54"/>
      <c r="F210" s="55"/>
      <c r="H210" s="17" t="str">
        <f>IFERROR(VLOOKUP(A210, Registo_Diario_Motorista!$A$2:$M$5001, 13, FALSE), "")</f>
        <v/>
      </c>
      <c r="J210" s="62"/>
      <c r="K210" s="55"/>
      <c r="L210" s="62"/>
      <c r="S210" s="55"/>
      <c r="Y210" s="55"/>
      <c r="Z210" s="55"/>
      <c r="AA210" s="55"/>
      <c r="AJ210" s="55"/>
    </row>
    <row r="211" ht="15.75" customHeight="1">
      <c r="A211" s="55"/>
      <c r="C211" s="55"/>
      <c r="E211" s="54"/>
      <c r="F211" s="55"/>
      <c r="H211" s="17" t="str">
        <f>IFERROR(VLOOKUP(A211, Registo_Diario_Motorista!$A$2:$M$5001, 13, FALSE), "")</f>
        <v/>
      </c>
      <c r="J211" s="62"/>
      <c r="K211" s="55"/>
      <c r="L211" s="62"/>
      <c r="S211" s="55"/>
      <c r="Y211" s="55"/>
      <c r="Z211" s="55"/>
      <c r="AA211" s="55"/>
      <c r="AJ211" s="55"/>
    </row>
    <row r="212" ht="15.75" customHeight="1">
      <c r="A212" s="55"/>
      <c r="C212" s="55"/>
      <c r="E212" s="54"/>
      <c r="F212" s="55"/>
      <c r="H212" s="17" t="str">
        <f>IFERROR(VLOOKUP(A212, Registo_Diario_Motorista!$A$2:$M$5001, 13, FALSE), "")</f>
        <v/>
      </c>
      <c r="J212" s="62"/>
      <c r="K212" s="55"/>
      <c r="L212" s="62"/>
      <c r="S212" s="55"/>
      <c r="Y212" s="55"/>
      <c r="Z212" s="55"/>
      <c r="AA212" s="55"/>
      <c r="AJ212" s="55"/>
    </row>
    <row r="213" ht="15.75" customHeight="1">
      <c r="A213" s="55"/>
      <c r="C213" s="55"/>
      <c r="E213" s="54"/>
      <c r="F213" s="55"/>
      <c r="H213" s="17" t="str">
        <f>IFERROR(VLOOKUP(A213, Registo_Diario_Motorista!$A$2:$M$5001, 13, FALSE), "")</f>
        <v/>
      </c>
      <c r="J213" s="62"/>
      <c r="K213" s="55"/>
      <c r="L213" s="62"/>
      <c r="S213" s="55"/>
      <c r="Y213" s="55"/>
      <c r="Z213" s="55"/>
      <c r="AA213" s="55"/>
      <c r="AJ213" s="55"/>
    </row>
    <row r="214" ht="15.75" customHeight="1">
      <c r="A214" s="55"/>
      <c r="C214" s="55"/>
      <c r="E214" s="54"/>
      <c r="F214" s="55"/>
      <c r="H214" s="17" t="str">
        <f>IFERROR(VLOOKUP(A214, Registo_Diario_Motorista!$A$2:$M$5001, 13, FALSE), "")</f>
        <v/>
      </c>
      <c r="J214" s="62"/>
      <c r="K214" s="55"/>
      <c r="L214" s="62"/>
      <c r="S214" s="55"/>
      <c r="Y214" s="55"/>
      <c r="Z214" s="55"/>
      <c r="AA214" s="55"/>
      <c r="AJ214" s="55"/>
    </row>
    <row r="215" ht="15.75" customHeight="1">
      <c r="A215" s="55"/>
      <c r="C215" s="55"/>
      <c r="E215" s="54"/>
      <c r="F215" s="55"/>
      <c r="H215" s="17" t="str">
        <f>IFERROR(VLOOKUP(A215, Registo_Diario_Motorista!$A$2:$M$5001, 13, FALSE), "")</f>
        <v/>
      </c>
      <c r="J215" s="62"/>
      <c r="K215" s="55"/>
      <c r="L215" s="62"/>
      <c r="S215" s="55"/>
      <c r="Y215" s="55"/>
      <c r="Z215" s="55"/>
      <c r="AA215" s="55"/>
      <c r="AJ215" s="55"/>
    </row>
    <row r="216" ht="15.75" customHeight="1">
      <c r="A216" s="55"/>
      <c r="C216" s="55"/>
      <c r="E216" s="54"/>
      <c r="F216" s="55"/>
      <c r="H216" s="17" t="str">
        <f>IFERROR(VLOOKUP(A216, Registo_Diario_Motorista!$A$2:$M$5001, 13, FALSE), "")</f>
        <v/>
      </c>
      <c r="J216" s="62"/>
      <c r="K216" s="55"/>
      <c r="L216" s="62"/>
      <c r="S216" s="55"/>
      <c r="Y216" s="55"/>
      <c r="Z216" s="55"/>
      <c r="AA216" s="55"/>
      <c r="AJ216" s="55"/>
    </row>
    <row r="217" ht="15.75" customHeight="1">
      <c r="A217" s="55"/>
      <c r="C217" s="55"/>
      <c r="E217" s="54"/>
      <c r="F217" s="55"/>
      <c r="H217" s="17" t="str">
        <f>IFERROR(VLOOKUP(A217, Registo_Diario_Motorista!$A$2:$M$5001, 13, FALSE), "")</f>
        <v/>
      </c>
      <c r="J217" s="62"/>
      <c r="K217" s="55"/>
      <c r="L217" s="62"/>
      <c r="S217" s="55"/>
      <c r="Y217" s="55"/>
      <c r="Z217" s="55"/>
      <c r="AA217" s="55"/>
      <c r="AJ217" s="55"/>
    </row>
    <row r="218" ht="15.75" customHeight="1">
      <c r="A218" s="55"/>
      <c r="C218" s="55"/>
      <c r="E218" s="54"/>
      <c r="F218" s="55"/>
      <c r="H218" s="17" t="str">
        <f>IFERROR(VLOOKUP(A218, Registo_Diario_Motorista!$A$2:$M$5001, 13, FALSE), "")</f>
        <v/>
      </c>
      <c r="J218" s="62"/>
      <c r="K218" s="55"/>
      <c r="L218" s="62"/>
      <c r="S218" s="55"/>
      <c r="Y218" s="55"/>
      <c r="Z218" s="55"/>
      <c r="AA218" s="55"/>
      <c r="AJ218" s="55"/>
    </row>
    <row r="219" ht="15.75" customHeight="1">
      <c r="A219" s="55"/>
      <c r="C219" s="55"/>
      <c r="E219" s="54"/>
      <c r="F219" s="55"/>
      <c r="H219" s="17" t="str">
        <f>IFERROR(VLOOKUP(A219, Registo_Diario_Motorista!$A$2:$M$5001, 13, FALSE), "")</f>
        <v/>
      </c>
      <c r="J219" s="62"/>
      <c r="K219" s="55"/>
      <c r="L219" s="62"/>
      <c r="S219" s="55"/>
      <c r="Y219" s="55"/>
      <c r="Z219" s="55"/>
      <c r="AA219" s="55"/>
      <c r="AJ219" s="55"/>
    </row>
    <row r="220" ht="15.75" customHeight="1">
      <c r="A220" s="55"/>
      <c r="C220" s="55"/>
      <c r="E220" s="54"/>
      <c r="F220" s="55"/>
      <c r="H220" s="17" t="str">
        <f>IFERROR(VLOOKUP(A220, Registo_Diario_Motorista!$A$2:$M$5001, 13, FALSE), "")</f>
        <v/>
      </c>
      <c r="J220" s="62"/>
      <c r="K220" s="55"/>
      <c r="L220" s="62"/>
      <c r="S220" s="55"/>
      <c r="Y220" s="55"/>
      <c r="Z220" s="55"/>
      <c r="AA220" s="55"/>
      <c r="AJ220" s="55"/>
    </row>
    <row r="221" ht="15.75" customHeight="1">
      <c r="A221" s="55"/>
      <c r="C221" s="55"/>
      <c r="E221" s="54"/>
      <c r="F221" s="55"/>
      <c r="H221" s="17" t="str">
        <f>IFERROR(VLOOKUP(A221, Registo_Diario_Motorista!$A$2:$M$5001, 13, FALSE), "")</f>
        <v/>
      </c>
      <c r="J221" s="62"/>
      <c r="K221" s="55"/>
      <c r="L221" s="62"/>
      <c r="S221" s="55"/>
      <c r="Y221" s="55"/>
      <c r="Z221" s="55"/>
      <c r="AA221" s="55"/>
      <c r="AJ221" s="55"/>
    </row>
    <row r="222" ht="15.75" customHeight="1">
      <c r="A222" s="55"/>
      <c r="C222" s="55"/>
      <c r="E222" s="54"/>
      <c r="F222" s="55"/>
      <c r="H222" s="17" t="str">
        <f>IFERROR(VLOOKUP(A222, Registo_Diario_Motorista!$A$2:$M$5001, 13, FALSE), "")</f>
        <v/>
      </c>
      <c r="J222" s="62"/>
      <c r="K222" s="55"/>
      <c r="L222" s="62"/>
      <c r="S222" s="55"/>
      <c r="Y222" s="55"/>
      <c r="Z222" s="55"/>
      <c r="AA222" s="55"/>
      <c r="AJ222" s="55"/>
    </row>
    <row r="223" ht="15.75" customHeight="1">
      <c r="A223" s="55"/>
      <c r="C223" s="55"/>
      <c r="E223" s="54"/>
      <c r="F223" s="55"/>
      <c r="H223" s="17" t="str">
        <f>IFERROR(VLOOKUP(A223, Registo_Diario_Motorista!$A$2:$M$5001, 13, FALSE), "")</f>
        <v/>
      </c>
      <c r="J223" s="62"/>
      <c r="K223" s="55"/>
      <c r="L223" s="62"/>
      <c r="S223" s="55"/>
      <c r="Y223" s="55"/>
      <c r="Z223" s="55"/>
      <c r="AA223" s="55"/>
      <c r="AJ223" s="55"/>
    </row>
    <row r="224" ht="15.75" customHeight="1">
      <c r="A224" s="55"/>
      <c r="C224" s="55"/>
      <c r="E224" s="54"/>
      <c r="F224" s="55"/>
      <c r="H224" s="17" t="str">
        <f>IFERROR(VLOOKUP(A224, Registo_Diario_Motorista!$A$2:$M$5001, 13, FALSE), "")</f>
        <v/>
      </c>
      <c r="J224" s="62"/>
      <c r="K224" s="55"/>
      <c r="L224" s="62"/>
      <c r="S224" s="55"/>
      <c r="Y224" s="55"/>
      <c r="Z224" s="55"/>
      <c r="AA224" s="55"/>
      <c r="AJ224" s="55"/>
    </row>
    <row r="225" ht="15.75" customHeight="1">
      <c r="A225" s="55"/>
      <c r="C225" s="55"/>
      <c r="E225" s="54"/>
      <c r="F225" s="55"/>
      <c r="H225" s="17" t="str">
        <f>IFERROR(VLOOKUP(A225, Registo_Diario_Motorista!$A$2:$M$5001, 13, FALSE), "")</f>
        <v/>
      </c>
      <c r="J225" s="62"/>
      <c r="K225" s="55"/>
      <c r="L225" s="62"/>
      <c r="S225" s="55"/>
      <c r="Y225" s="55"/>
      <c r="Z225" s="55"/>
      <c r="AA225" s="55"/>
      <c r="AJ225" s="55"/>
    </row>
    <row r="226" ht="15.75" customHeight="1">
      <c r="A226" s="55"/>
      <c r="C226" s="55"/>
      <c r="E226" s="54"/>
      <c r="F226" s="55"/>
      <c r="H226" s="17" t="str">
        <f>IFERROR(VLOOKUP(A226, Registo_Diario_Motorista!$A$2:$M$5001, 13, FALSE), "")</f>
        <v/>
      </c>
      <c r="J226" s="62"/>
      <c r="K226" s="55"/>
      <c r="L226" s="62"/>
      <c r="S226" s="55"/>
      <c r="Y226" s="55"/>
      <c r="Z226" s="55"/>
      <c r="AA226" s="55"/>
      <c r="AJ226" s="55"/>
    </row>
    <row r="227" ht="15.75" customHeight="1">
      <c r="A227" s="55"/>
      <c r="C227" s="55"/>
      <c r="E227" s="54"/>
      <c r="F227" s="55"/>
      <c r="H227" s="17" t="str">
        <f>IFERROR(VLOOKUP(A227, Registo_Diario_Motorista!$A$2:$M$5001, 13, FALSE), "")</f>
        <v/>
      </c>
      <c r="J227" s="62"/>
      <c r="K227" s="55"/>
      <c r="L227" s="62"/>
      <c r="S227" s="55"/>
      <c r="Y227" s="55"/>
      <c r="Z227" s="55"/>
      <c r="AA227" s="55"/>
      <c r="AJ227" s="55"/>
    </row>
    <row r="228" ht="15.75" customHeight="1">
      <c r="A228" s="55"/>
      <c r="C228" s="55"/>
      <c r="E228" s="54"/>
      <c r="F228" s="55"/>
      <c r="H228" s="17" t="str">
        <f>IFERROR(VLOOKUP(A228, Registo_Diario_Motorista!$A$2:$M$5001, 13, FALSE), "")</f>
        <v/>
      </c>
      <c r="J228" s="62"/>
      <c r="K228" s="55"/>
      <c r="L228" s="62"/>
      <c r="S228" s="55"/>
      <c r="Y228" s="55"/>
      <c r="Z228" s="55"/>
      <c r="AA228" s="55"/>
      <c r="AJ228" s="55"/>
    </row>
    <row r="229" ht="15.75" customHeight="1">
      <c r="A229" s="55"/>
      <c r="C229" s="55"/>
      <c r="E229" s="54"/>
      <c r="F229" s="55"/>
      <c r="H229" s="17" t="str">
        <f>IFERROR(VLOOKUP(A229, Registo_Diario_Motorista!$A$2:$M$5001, 13, FALSE), "")</f>
        <v/>
      </c>
      <c r="J229" s="62"/>
      <c r="K229" s="55"/>
      <c r="L229" s="62"/>
      <c r="S229" s="55"/>
      <c r="Y229" s="55"/>
      <c r="Z229" s="55"/>
      <c r="AA229" s="55"/>
      <c r="AJ229" s="55"/>
    </row>
    <row r="230" ht="15.75" customHeight="1">
      <c r="A230" s="55"/>
      <c r="C230" s="55"/>
      <c r="E230" s="54"/>
      <c r="F230" s="55"/>
      <c r="H230" s="17" t="str">
        <f>IFERROR(VLOOKUP(A230, Registo_Diario_Motorista!$A$2:$M$5001, 13, FALSE), "")</f>
        <v/>
      </c>
      <c r="J230" s="62"/>
      <c r="K230" s="55"/>
      <c r="L230" s="62"/>
      <c r="S230" s="55"/>
      <c r="Y230" s="55"/>
      <c r="Z230" s="55"/>
      <c r="AA230" s="55"/>
      <c r="AJ230" s="55"/>
    </row>
    <row r="231" ht="15.75" customHeight="1">
      <c r="A231" s="55"/>
      <c r="C231" s="55"/>
      <c r="E231" s="54"/>
      <c r="F231" s="55"/>
      <c r="H231" s="17" t="str">
        <f>IFERROR(VLOOKUP(A231, Registo_Diario_Motorista!$A$2:$M$5001, 13, FALSE), "")</f>
        <v/>
      </c>
      <c r="J231" s="62"/>
      <c r="K231" s="55"/>
      <c r="L231" s="62"/>
      <c r="S231" s="55"/>
      <c r="Y231" s="55"/>
      <c r="Z231" s="55"/>
      <c r="AA231" s="55"/>
      <c r="AJ231" s="55"/>
    </row>
    <row r="232" ht="15.75" customHeight="1">
      <c r="A232" s="55"/>
      <c r="C232" s="55"/>
      <c r="E232" s="54"/>
      <c r="F232" s="55"/>
      <c r="H232" s="17" t="str">
        <f>IFERROR(VLOOKUP(A232, Registo_Diario_Motorista!$A$2:$M$5001, 13, FALSE), "")</f>
        <v/>
      </c>
      <c r="J232" s="62"/>
      <c r="K232" s="55"/>
      <c r="L232" s="62"/>
      <c r="S232" s="55"/>
      <c r="Y232" s="55"/>
      <c r="Z232" s="55"/>
      <c r="AA232" s="55"/>
      <c r="AJ232" s="55"/>
    </row>
    <row r="233" ht="15.75" customHeight="1">
      <c r="A233" s="55"/>
      <c r="C233" s="55"/>
      <c r="E233" s="54"/>
      <c r="F233" s="55"/>
      <c r="H233" s="17" t="str">
        <f>IFERROR(VLOOKUP(A233, Registo_Diario_Motorista!$A$2:$M$5001, 13, FALSE), "")</f>
        <v/>
      </c>
      <c r="J233" s="62"/>
      <c r="K233" s="55"/>
      <c r="L233" s="62"/>
      <c r="S233" s="55"/>
      <c r="Y233" s="55"/>
      <c r="Z233" s="55"/>
      <c r="AA233" s="55"/>
      <c r="AJ233" s="55"/>
    </row>
    <row r="234" ht="15.75" customHeight="1">
      <c r="A234" s="55"/>
      <c r="C234" s="55"/>
      <c r="E234" s="54"/>
      <c r="F234" s="55"/>
      <c r="H234" s="17" t="str">
        <f>IFERROR(VLOOKUP(A234, Registo_Diario_Motorista!$A$2:$M$5001, 13, FALSE), "")</f>
        <v/>
      </c>
      <c r="J234" s="62"/>
      <c r="K234" s="55"/>
      <c r="L234" s="62"/>
      <c r="S234" s="55"/>
      <c r="Y234" s="55"/>
      <c r="Z234" s="55"/>
      <c r="AA234" s="55"/>
      <c r="AJ234" s="55"/>
    </row>
    <row r="235" ht="15.75" customHeight="1">
      <c r="A235" s="55"/>
      <c r="C235" s="55"/>
      <c r="E235" s="54"/>
      <c r="F235" s="55"/>
      <c r="H235" s="17" t="str">
        <f>IFERROR(VLOOKUP(A235, Registo_Diario_Motorista!$A$2:$M$5001, 13, FALSE), "")</f>
        <v/>
      </c>
      <c r="J235" s="62"/>
      <c r="K235" s="55"/>
      <c r="L235" s="62"/>
      <c r="S235" s="55"/>
      <c r="Y235" s="55"/>
      <c r="Z235" s="55"/>
      <c r="AA235" s="55"/>
      <c r="AJ235" s="55"/>
    </row>
    <row r="236" ht="15.75" customHeight="1">
      <c r="A236" s="55"/>
      <c r="C236" s="55"/>
      <c r="E236" s="54"/>
      <c r="F236" s="55"/>
      <c r="H236" s="17" t="str">
        <f>IFERROR(VLOOKUP(A236, Registo_Diario_Motorista!$A$2:$M$5001, 13, FALSE), "")</f>
        <v/>
      </c>
      <c r="J236" s="62"/>
      <c r="K236" s="55"/>
      <c r="L236" s="62"/>
      <c r="S236" s="55"/>
      <c r="Y236" s="55"/>
      <c r="Z236" s="55"/>
      <c r="AA236" s="55"/>
      <c r="AJ236" s="55"/>
    </row>
    <row r="237" ht="15.75" customHeight="1">
      <c r="A237" s="55"/>
      <c r="C237" s="55"/>
      <c r="E237" s="54"/>
      <c r="F237" s="55"/>
      <c r="H237" s="17" t="str">
        <f>IFERROR(VLOOKUP(A237, Registo_Diario_Motorista!$A$2:$M$5001, 13, FALSE), "")</f>
        <v/>
      </c>
      <c r="J237" s="62"/>
      <c r="K237" s="55"/>
      <c r="L237" s="62"/>
      <c r="S237" s="55"/>
      <c r="Y237" s="55"/>
      <c r="Z237" s="55"/>
      <c r="AA237" s="55"/>
      <c r="AJ237" s="55"/>
    </row>
    <row r="238" ht="15.75" customHeight="1">
      <c r="A238" s="55"/>
      <c r="C238" s="55"/>
      <c r="E238" s="54"/>
      <c r="F238" s="55"/>
      <c r="H238" s="17" t="str">
        <f>IFERROR(VLOOKUP(A238, Registo_Diario_Motorista!$A$2:$M$5001, 13, FALSE), "")</f>
        <v/>
      </c>
      <c r="J238" s="62"/>
      <c r="K238" s="55"/>
      <c r="L238" s="62"/>
      <c r="S238" s="55"/>
      <c r="Y238" s="55"/>
      <c r="Z238" s="55"/>
      <c r="AA238" s="55"/>
      <c r="AJ238" s="55"/>
    </row>
    <row r="239" ht="15.75" customHeight="1">
      <c r="A239" s="55"/>
      <c r="C239" s="55"/>
      <c r="E239" s="54"/>
      <c r="F239" s="55"/>
      <c r="H239" s="17" t="str">
        <f>IFERROR(VLOOKUP(A239, Registo_Diario_Motorista!$A$2:$M$5001, 13, FALSE), "")</f>
        <v/>
      </c>
      <c r="J239" s="62"/>
      <c r="K239" s="55"/>
      <c r="L239" s="62"/>
      <c r="S239" s="55"/>
      <c r="Y239" s="55"/>
      <c r="Z239" s="55"/>
      <c r="AA239" s="55"/>
      <c r="AJ239" s="55"/>
    </row>
    <row r="240" ht="15.75" customHeight="1">
      <c r="A240" s="55"/>
      <c r="C240" s="55"/>
      <c r="E240" s="54"/>
      <c r="F240" s="55"/>
      <c r="H240" s="17" t="str">
        <f>IFERROR(VLOOKUP(A240, Registo_Diario_Motorista!$A$2:$M$5001, 13, FALSE), "")</f>
        <v/>
      </c>
      <c r="J240" s="62"/>
      <c r="K240" s="55"/>
      <c r="L240" s="62"/>
      <c r="S240" s="55"/>
      <c r="Y240" s="55"/>
      <c r="Z240" s="55"/>
      <c r="AA240" s="55"/>
      <c r="AJ240" s="55"/>
    </row>
    <row r="241" ht="15.75" customHeight="1">
      <c r="A241" s="55"/>
      <c r="C241" s="55"/>
      <c r="E241" s="54"/>
      <c r="F241" s="55"/>
      <c r="H241" s="17" t="str">
        <f>IFERROR(VLOOKUP(A241, Registo_Diario_Motorista!$A$2:$M$5001, 13, FALSE), "")</f>
        <v/>
      </c>
      <c r="J241" s="62"/>
      <c r="K241" s="55"/>
      <c r="L241" s="62"/>
      <c r="S241" s="55"/>
      <c r="Y241" s="55"/>
      <c r="Z241" s="55"/>
      <c r="AA241" s="55"/>
      <c r="AJ241" s="55"/>
    </row>
    <row r="242" ht="15.75" customHeight="1">
      <c r="A242" s="55"/>
      <c r="C242" s="55"/>
      <c r="E242" s="54"/>
      <c r="F242" s="55"/>
      <c r="H242" s="17" t="str">
        <f>IFERROR(VLOOKUP(A242, Registo_Diario_Motorista!$A$2:$M$5001, 13, FALSE), "")</f>
        <v/>
      </c>
      <c r="J242" s="62"/>
      <c r="K242" s="55"/>
      <c r="L242" s="62"/>
      <c r="S242" s="55"/>
      <c r="Y242" s="55"/>
      <c r="Z242" s="55"/>
      <c r="AA242" s="55"/>
      <c r="AJ242" s="55"/>
    </row>
    <row r="243" ht="15.75" customHeight="1">
      <c r="A243" s="55"/>
      <c r="C243" s="55"/>
      <c r="E243" s="54"/>
      <c r="F243" s="55"/>
      <c r="H243" s="17" t="str">
        <f>IFERROR(VLOOKUP(A243, Registo_Diario_Motorista!$A$2:$M$5001, 13, FALSE), "")</f>
        <v/>
      </c>
      <c r="J243" s="62"/>
      <c r="K243" s="55"/>
      <c r="L243" s="62"/>
      <c r="S243" s="55"/>
      <c r="Y243" s="55"/>
      <c r="Z243" s="55"/>
      <c r="AA243" s="55"/>
      <c r="AJ243" s="55"/>
    </row>
    <row r="244" ht="15.75" customHeight="1">
      <c r="A244" s="55"/>
      <c r="C244" s="55"/>
      <c r="E244" s="54"/>
      <c r="F244" s="55"/>
      <c r="H244" s="17" t="str">
        <f>IFERROR(VLOOKUP(A244, Registo_Diario_Motorista!$A$2:$M$5001, 13, FALSE), "")</f>
        <v/>
      </c>
      <c r="J244" s="62"/>
      <c r="K244" s="55"/>
      <c r="L244" s="62"/>
      <c r="S244" s="55"/>
      <c r="Y244" s="55"/>
      <c r="Z244" s="55"/>
      <c r="AA244" s="55"/>
      <c r="AJ244" s="55"/>
    </row>
    <row r="245" ht="15.75" customHeight="1">
      <c r="A245" s="55"/>
      <c r="C245" s="55"/>
      <c r="E245" s="54"/>
      <c r="F245" s="55"/>
      <c r="H245" s="17" t="str">
        <f>IFERROR(VLOOKUP(A245, Registo_Diario_Motorista!$A$2:$M$5001, 13, FALSE), "")</f>
        <v/>
      </c>
      <c r="J245" s="62"/>
      <c r="K245" s="55"/>
      <c r="L245" s="62"/>
      <c r="S245" s="55"/>
      <c r="Y245" s="55"/>
      <c r="Z245" s="55"/>
      <c r="AA245" s="55"/>
      <c r="AJ245" s="55"/>
    </row>
    <row r="246" ht="15.75" customHeight="1">
      <c r="A246" s="55"/>
      <c r="C246" s="55"/>
      <c r="E246" s="54"/>
      <c r="F246" s="55"/>
      <c r="H246" s="17" t="str">
        <f>IFERROR(VLOOKUP(A246, Registo_Diario_Motorista!$A$2:$M$5001, 13, FALSE), "")</f>
        <v/>
      </c>
      <c r="J246" s="62"/>
      <c r="K246" s="55"/>
      <c r="L246" s="62"/>
      <c r="S246" s="55"/>
      <c r="Y246" s="55"/>
      <c r="Z246" s="55"/>
      <c r="AA246" s="55"/>
      <c r="AJ246" s="55"/>
    </row>
    <row r="247" ht="15.75" customHeight="1">
      <c r="A247" s="55"/>
      <c r="C247" s="55"/>
      <c r="E247" s="54"/>
      <c r="F247" s="55"/>
      <c r="H247" s="17" t="str">
        <f>IFERROR(VLOOKUP(A247, Registo_Diario_Motorista!$A$2:$M$5001, 13, FALSE), "")</f>
        <v/>
      </c>
      <c r="J247" s="62"/>
      <c r="K247" s="55"/>
      <c r="L247" s="62"/>
      <c r="S247" s="55"/>
      <c r="Y247" s="55"/>
      <c r="Z247" s="55"/>
      <c r="AA247" s="55"/>
      <c r="AJ247" s="55"/>
    </row>
    <row r="248" ht="15.75" customHeight="1">
      <c r="A248" s="55"/>
      <c r="C248" s="55"/>
      <c r="E248" s="54"/>
      <c r="F248" s="55"/>
      <c r="H248" s="17" t="str">
        <f>IFERROR(VLOOKUP(A248, Registo_Diario_Motorista!$A$2:$M$5001, 13, FALSE), "")</f>
        <v/>
      </c>
      <c r="J248" s="62"/>
      <c r="K248" s="55"/>
      <c r="L248" s="62"/>
      <c r="S248" s="55"/>
      <c r="Y248" s="55"/>
      <c r="Z248" s="55"/>
      <c r="AA248" s="55"/>
      <c r="AJ248" s="55"/>
    </row>
    <row r="249" ht="15.75" customHeight="1">
      <c r="A249" s="55"/>
      <c r="C249" s="55"/>
      <c r="E249" s="54"/>
      <c r="F249" s="55"/>
      <c r="H249" s="17" t="str">
        <f>IFERROR(VLOOKUP(A249, Registo_Diario_Motorista!$A$2:$M$5001, 13, FALSE), "")</f>
        <v/>
      </c>
      <c r="J249" s="62"/>
      <c r="K249" s="55"/>
      <c r="L249" s="62"/>
      <c r="S249" s="55"/>
      <c r="Y249" s="55"/>
      <c r="Z249" s="55"/>
      <c r="AA249" s="55"/>
      <c r="AJ249" s="55"/>
    </row>
    <row r="250" ht="15.75" customHeight="1">
      <c r="A250" s="55"/>
      <c r="C250" s="55"/>
      <c r="E250" s="54"/>
      <c r="F250" s="55"/>
      <c r="H250" s="17" t="str">
        <f>IFERROR(VLOOKUP(A250, Registo_Diario_Motorista!$A$2:$M$5001, 13, FALSE), "")</f>
        <v/>
      </c>
      <c r="J250" s="62"/>
      <c r="K250" s="55"/>
      <c r="L250" s="62"/>
      <c r="S250" s="55"/>
      <c r="Y250" s="55"/>
      <c r="Z250" s="55"/>
      <c r="AA250" s="55"/>
      <c r="AJ250" s="55"/>
    </row>
    <row r="251" ht="15.75" customHeight="1">
      <c r="A251" s="55"/>
      <c r="C251" s="55"/>
      <c r="E251" s="54"/>
      <c r="F251" s="55"/>
      <c r="H251" s="17" t="str">
        <f>IFERROR(VLOOKUP(A251, Registo_Diario_Motorista!$A$2:$M$5001, 13, FALSE), "")</f>
        <v/>
      </c>
      <c r="J251" s="62"/>
      <c r="K251" s="55"/>
      <c r="L251" s="62"/>
      <c r="S251" s="55"/>
      <c r="Y251" s="55"/>
      <c r="Z251" s="55"/>
      <c r="AA251" s="55"/>
      <c r="AJ251" s="55"/>
    </row>
    <row r="252" ht="15.75" customHeight="1">
      <c r="A252" s="55"/>
      <c r="C252" s="55"/>
      <c r="E252" s="54"/>
      <c r="F252" s="55"/>
      <c r="H252" s="17" t="str">
        <f>IFERROR(VLOOKUP(A252, Registo_Diario_Motorista!$A$2:$M$5001, 13, FALSE), "")</f>
        <v/>
      </c>
      <c r="J252" s="62"/>
      <c r="K252" s="55"/>
      <c r="L252" s="62"/>
      <c r="S252" s="55"/>
      <c r="Y252" s="55"/>
      <c r="Z252" s="55"/>
      <c r="AA252" s="55"/>
      <c r="AJ252" s="55"/>
    </row>
    <row r="253" ht="15.75" customHeight="1">
      <c r="A253" s="55"/>
      <c r="C253" s="55"/>
      <c r="E253" s="54"/>
      <c r="F253" s="55"/>
      <c r="H253" s="17" t="str">
        <f>IFERROR(VLOOKUP(A253, Registo_Diario_Motorista!$A$2:$M$5001, 13, FALSE), "")</f>
        <v/>
      </c>
      <c r="J253" s="62"/>
      <c r="K253" s="55"/>
      <c r="L253" s="62"/>
      <c r="S253" s="55"/>
      <c r="Y253" s="55"/>
      <c r="Z253" s="55"/>
      <c r="AA253" s="55"/>
      <c r="AJ253" s="55"/>
    </row>
    <row r="254" ht="15.75" customHeight="1">
      <c r="A254" s="55"/>
      <c r="C254" s="55"/>
      <c r="E254" s="54"/>
      <c r="F254" s="55"/>
      <c r="H254" s="17" t="str">
        <f>IFERROR(VLOOKUP(A254, Registo_Diario_Motorista!$A$2:$M$5001, 13, FALSE), "")</f>
        <v/>
      </c>
      <c r="J254" s="62"/>
      <c r="K254" s="55"/>
      <c r="L254" s="62"/>
      <c r="S254" s="55"/>
      <c r="Y254" s="55"/>
      <c r="Z254" s="55"/>
      <c r="AA254" s="55"/>
      <c r="AJ254" s="55"/>
    </row>
    <row r="255" ht="15.75" customHeight="1">
      <c r="A255" s="55"/>
      <c r="C255" s="55"/>
      <c r="E255" s="54"/>
      <c r="F255" s="55"/>
      <c r="H255" s="17" t="str">
        <f>IFERROR(VLOOKUP(A255, Registo_Diario_Motorista!$A$2:$M$5001, 13, FALSE), "")</f>
        <v/>
      </c>
      <c r="J255" s="62"/>
      <c r="K255" s="55"/>
      <c r="L255" s="62"/>
      <c r="S255" s="55"/>
      <c r="Y255" s="55"/>
      <c r="Z255" s="55"/>
      <c r="AA255" s="55"/>
      <c r="AJ255" s="55"/>
    </row>
    <row r="256" ht="15.75" customHeight="1">
      <c r="A256" s="55"/>
      <c r="C256" s="55"/>
      <c r="E256" s="54"/>
      <c r="F256" s="55"/>
      <c r="H256" s="17" t="str">
        <f>IFERROR(VLOOKUP(A256, Registo_Diario_Motorista!$A$2:$M$5001, 13, FALSE), "")</f>
        <v/>
      </c>
      <c r="J256" s="62"/>
      <c r="K256" s="55"/>
      <c r="L256" s="62"/>
      <c r="S256" s="55"/>
      <c r="Y256" s="55"/>
      <c r="Z256" s="55"/>
      <c r="AA256" s="55"/>
      <c r="AJ256" s="55"/>
    </row>
    <row r="257" ht="15.75" customHeight="1">
      <c r="A257" s="55"/>
      <c r="C257" s="55"/>
      <c r="E257" s="54"/>
      <c r="F257" s="55"/>
      <c r="H257" s="17" t="str">
        <f>IFERROR(VLOOKUP(A257, Registo_Diario_Motorista!$A$2:$M$5001, 13, FALSE), "")</f>
        <v/>
      </c>
      <c r="J257" s="62"/>
      <c r="K257" s="55"/>
      <c r="L257" s="62"/>
      <c r="S257" s="55"/>
      <c r="Y257" s="55"/>
      <c r="Z257" s="55"/>
      <c r="AA257" s="55"/>
      <c r="AJ257" s="55"/>
    </row>
    <row r="258" ht="15.75" customHeight="1">
      <c r="A258" s="55"/>
      <c r="C258" s="55"/>
      <c r="E258" s="54"/>
      <c r="F258" s="55"/>
      <c r="H258" s="17" t="str">
        <f>IFERROR(VLOOKUP(A258, Registo_Diario_Motorista!$A$2:$M$5001, 13, FALSE), "")</f>
        <v/>
      </c>
      <c r="J258" s="62"/>
      <c r="K258" s="55"/>
      <c r="L258" s="62"/>
      <c r="S258" s="55"/>
      <c r="Y258" s="55"/>
      <c r="Z258" s="55"/>
      <c r="AA258" s="55"/>
      <c r="AJ258" s="55"/>
    </row>
    <row r="259" ht="15.75" customHeight="1">
      <c r="A259" s="55"/>
      <c r="C259" s="55"/>
      <c r="E259" s="54"/>
      <c r="F259" s="55"/>
      <c r="H259" s="17" t="str">
        <f>IFERROR(VLOOKUP(A259, Registo_Diario_Motorista!$A$2:$M$5001, 13, FALSE), "")</f>
        <v/>
      </c>
      <c r="J259" s="62"/>
      <c r="K259" s="55"/>
      <c r="L259" s="62"/>
      <c r="S259" s="55"/>
      <c r="Y259" s="55"/>
      <c r="Z259" s="55"/>
      <c r="AA259" s="55"/>
      <c r="AJ259" s="55"/>
    </row>
    <row r="260" ht="15.75" customHeight="1">
      <c r="A260" s="55"/>
      <c r="C260" s="55"/>
      <c r="E260" s="54"/>
      <c r="F260" s="55"/>
      <c r="H260" s="17" t="str">
        <f>IFERROR(VLOOKUP(A260, Registo_Diario_Motorista!$A$2:$M$5001, 13, FALSE), "")</f>
        <v/>
      </c>
      <c r="J260" s="62"/>
      <c r="K260" s="55"/>
      <c r="L260" s="62"/>
      <c r="S260" s="55"/>
      <c r="Y260" s="55"/>
      <c r="Z260" s="55"/>
      <c r="AA260" s="55"/>
      <c r="AJ260" s="55"/>
    </row>
    <row r="261" ht="15.75" customHeight="1">
      <c r="A261" s="55"/>
      <c r="C261" s="55"/>
      <c r="E261" s="54"/>
      <c r="F261" s="55"/>
      <c r="H261" s="17" t="str">
        <f>IFERROR(VLOOKUP(A261, Registo_Diario_Motorista!$A$2:$M$5001, 13, FALSE), "")</f>
        <v/>
      </c>
      <c r="J261" s="62"/>
      <c r="K261" s="55"/>
      <c r="L261" s="62"/>
      <c r="S261" s="55"/>
      <c r="Y261" s="55"/>
      <c r="Z261" s="55"/>
      <c r="AA261" s="55"/>
      <c r="AJ261" s="55"/>
    </row>
    <row r="262" ht="15.75" customHeight="1">
      <c r="A262" s="55"/>
      <c r="C262" s="55"/>
      <c r="E262" s="54"/>
      <c r="F262" s="55"/>
      <c r="H262" s="17" t="str">
        <f>IFERROR(VLOOKUP(A262, Registo_Diario_Motorista!$A$2:$M$5001, 13, FALSE), "")</f>
        <v/>
      </c>
      <c r="J262" s="62"/>
      <c r="K262" s="55"/>
      <c r="L262" s="62"/>
      <c r="S262" s="55"/>
      <c r="Y262" s="55"/>
      <c r="Z262" s="55"/>
      <c r="AA262" s="55"/>
      <c r="AJ262" s="55"/>
    </row>
    <row r="263" ht="15.75" customHeight="1">
      <c r="A263" s="55"/>
      <c r="C263" s="55"/>
      <c r="E263" s="54"/>
      <c r="F263" s="55"/>
      <c r="H263" s="17" t="str">
        <f>IFERROR(VLOOKUP(A263, Registo_Diario_Motorista!$A$2:$M$5001, 13, FALSE), "")</f>
        <v/>
      </c>
      <c r="J263" s="62"/>
      <c r="K263" s="55"/>
      <c r="L263" s="62"/>
      <c r="S263" s="55"/>
      <c r="Y263" s="55"/>
      <c r="Z263" s="55"/>
      <c r="AA263" s="55"/>
      <c r="AJ263" s="55"/>
    </row>
    <row r="264" ht="15.75" customHeight="1">
      <c r="A264" s="55"/>
      <c r="C264" s="55"/>
      <c r="E264" s="54"/>
      <c r="F264" s="55"/>
      <c r="H264" s="17" t="str">
        <f>IFERROR(VLOOKUP(A264, Registo_Diario_Motorista!$A$2:$M$5001, 13, FALSE), "")</f>
        <v/>
      </c>
      <c r="J264" s="62"/>
      <c r="K264" s="55"/>
      <c r="L264" s="62"/>
      <c r="S264" s="55"/>
      <c r="Y264" s="55"/>
      <c r="Z264" s="55"/>
      <c r="AA264" s="55"/>
      <c r="AJ264" s="55"/>
    </row>
    <row r="265" ht="15.75" customHeight="1">
      <c r="A265" s="55"/>
      <c r="C265" s="55"/>
      <c r="E265" s="54"/>
      <c r="F265" s="55"/>
      <c r="H265" s="17" t="str">
        <f>IFERROR(VLOOKUP(A265, Registo_Diario_Motorista!$A$2:$M$5001, 13, FALSE), "")</f>
        <v/>
      </c>
      <c r="J265" s="62"/>
      <c r="K265" s="55"/>
      <c r="L265" s="62"/>
      <c r="S265" s="55"/>
      <c r="Y265" s="55"/>
      <c r="Z265" s="55"/>
      <c r="AA265" s="55"/>
      <c r="AJ265" s="55"/>
    </row>
    <row r="266" ht="15.75" customHeight="1">
      <c r="A266" s="55"/>
      <c r="C266" s="55"/>
      <c r="E266" s="54"/>
      <c r="F266" s="55"/>
      <c r="H266" s="17" t="str">
        <f>IFERROR(VLOOKUP(A266, Registo_Diario_Motorista!$A$2:$M$5001, 13, FALSE), "")</f>
        <v/>
      </c>
      <c r="J266" s="62"/>
      <c r="K266" s="55"/>
      <c r="L266" s="62"/>
      <c r="S266" s="55"/>
      <c r="Y266" s="55"/>
      <c r="Z266" s="55"/>
      <c r="AA266" s="55"/>
      <c r="AJ266" s="55"/>
    </row>
    <row r="267" ht="15.75" customHeight="1">
      <c r="A267" s="55"/>
      <c r="C267" s="55"/>
      <c r="E267" s="54"/>
      <c r="F267" s="55"/>
      <c r="H267" s="17" t="str">
        <f>IFERROR(VLOOKUP(A267, Registo_Diario_Motorista!$A$2:$M$5001, 13, FALSE), "")</f>
        <v/>
      </c>
      <c r="J267" s="62"/>
      <c r="K267" s="55"/>
      <c r="L267" s="62"/>
      <c r="S267" s="55"/>
      <c r="Y267" s="55"/>
      <c r="Z267" s="55"/>
      <c r="AA267" s="55"/>
      <c r="AJ267" s="55"/>
    </row>
    <row r="268" ht="15.75" customHeight="1">
      <c r="A268" s="55"/>
      <c r="C268" s="55"/>
      <c r="E268" s="54"/>
      <c r="F268" s="55"/>
      <c r="H268" s="17" t="str">
        <f>IFERROR(VLOOKUP(A268, Registo_Diario_Motorista!$A$2:$M$5001, 13, FALSE), "")</f>
        <v/>
      </c>
      <c r="J268" s="62"/>
      <c r="K268" s="55"/>
      <c r="L268" s="62"/>
      <c r="S268" s="55"/>
      <c r="Y268" s="55"/>
      <c r="Z268" s="55"/>
      <c r="AA268" s="55"/>
      <c r="AJ268" s="55"/>
    </row>
    <row r="269" ht="15.75" customHeight="1">
      <c r="A269" s="55"/>
      <c r="C269" s="55"/>
      <c r="E269" s="54"/>
      <c r="F269" s="55"/>
      <c r="H269" s="17" t="str">
        <f>IFERROR(VLOOKUP(A269, Registo_Diario_Motorista!$A$2:$M$5001, 13, FALSE), "")</f>
        <v/>
      </c>
      <c r="J269" s="62"/>
      <c r="K269" s="55"/>
      <c r="L269" s="62"/>
      <c r="S269" s="55"/>
      <c r="Y269" s="55"/>
      <c r="Z269" s="55"/>
      <c r="AA269" s="55"/>
      <c r="AJ269" s="55"/>
    </row>
    <row r="270" ht="15.75" customHeight="1">
      <c r="A270" s="55"/>
      <c r="C270" s="55"/>
      <c r="E270" s="54"/>
      <c r="F270" s="55"/>
      <c r="H270" s="17" t="str">
        <f>IFERROR(VLOOKUP(A270, Registo_Diario_Motorista!$A$2:$M$5001, 13, FALSE), "")</f>
        <v/>
      </c>
      <c r="J270" s="62"/>
      <c r="K270" s="55"/>
      <c r="L270" s="62"/>
      <c r="S270" s="55"/>
      <c r="Y270" s="55"/>
      <c r="Z270" s="55"/>
      <c r="AA270" s="55"/>
      <c r="AJ270" s="55"/>
    </row>
    <row r="271" ht="15.75" customHeight="1">
      <c r="A271" s="55"/>
      <c r="C271" s="55"/>
      <c r="E271" s="54"/>
      <c r="F271" s="55"/>
      <c r="H271" s="17" t="str">
        <f>IFERROR(VLOOKUP(A271, Registo_Diario_Motorista!$A$2:$M$5001, 13, FALSE), "")</f>
        <v/>
      </c>
      <c r="J271" s="62"/>
      <c r="K271" s="55"/>
      <c r="L271" s="62"/>
      <c r="S271" s="55"/>
      <c r="Y271" s="55"/>
      <c r="Z271" s="55"/>
      <c r="AA271" s="55"/>
      <c r="AJ271" s="55"/>
    </row>
    <row r="272" ht="15.75" customHeight="1">
      <c r="A272" s="55"/>
      <c r="C272" s="55"/>
      <c r="E272" s="54"/>
      <c r="F272" s="55"/>
      <c r="H272" s="17" t="str">
        <f>IFERROR(VLOOKUP(A272, Registo_Diario_Motorista!$A$2:$M$5001, 13, FALSE), "")</f>
        <v/>
      </c>
      <c r="J272" s="62"/>
      <c r="K272" s="55"/>
      <c r="L272" s="62"/>
      <c r="S272" s="55"/>
      <c r="Y272" s="55"/>
      <c r="Z272" s="55"/>
      <c r="AA272" s="55"/>
      <c r="AJ272" s="55"/>
    </row>
    <row r="273" ht="15.75" customHeight="1">
      <c r="A273" s="55"/>
      <c r="C273" s="55"/>
      <c r="E273" s="54"/>
      <c r="F273" s="55"/>
      <c r="H273" s="17" t="str">
        <f>IFERROR(VLOOKUP(A273, Registo_Diario_Motorista!$A$2:$M$5001, 13, FALSE), "")</f>
        <v/>
      </c>
      <c r="J273" s="62"/>
      <c r="K273" s="55"/>
      <c r="L273" s="62"/>
      <c r="S273" s="55"/>
      <c r="Y273" s="55"/>
      <c r="Z273" s="55"/>
      <c r="AA273" s="55"/>
      <c r="AJ273" s="55"/>
    </row>
    <row r="274" ht="15.75" customHeight="1">
      <c r="A274" s="55"/>
      <c r="C274" s="55"/>
      <c r="E274" s="54"/>
      <c r="F274" s="55"/>
      <c r="H274" s="17" t="str">
        <f>IFERROR(VLOOKUP(A274, Registo_Diario_Motorista!$A$2:$M$5001, 13, FALSE), "")</f>
        <v/>
      </c>
      <c r="J274" s="62"/>
      <c r="K274" s="55"/>
      <c r="L274" s="62"/>
      <c r="S274" s="55"/>
      <c r="Y274" s="55"/>
      <c r="Z274" s="55"/>
      <c r="AA274" s="55"/>
      <c r="AJ274" s="55"/>
    </row>
    <row r="275" ht="15.75" customHeight="1">
      <c r="A275" s="55"/>
      <c r="C275" s="55"/>
      <c r="E275" s="54"/>
      <c r="F275" s="55"/>
      <c r="H275" s="17" t="str">
        <f>IFERROR(VLOOKUP(A275, Registo_Diario_Motorista!$A$2:$M$5001, 13, FALSE), "")</f>
        <v/>
      </c>
      <c r="J275" s="62"/>
      <c r="K275" s="55"/>
      <c r="L275" s="62"/>
      <c r="S275" s="55"/>
      <c r="Y275" s="55"/>
      <c r="Z275" s="55"/>
      <c r="AA275" s="55"/>
      <c r="AJ275" s="55"/>
    </row>
    <row r="276" ht="15.75" customHeight="1">
      <c r="A276" s="55"/>
      <c r="C276" s="55"/>
      <c r="E276" s="54"/>
      <c r="F276" s="55"/>
      <c r="H276" s="17" t="str">
        <f>IFERROR(VLOOKUP(A276, Registo_Diario_Motorista!$A$2:$M$5001, 13, FALSE), "")</f>
        <v/>
      </c>
      <c r="J276" s="62"/>
      <c r="K276" s="55"/>
      <c r="L276" s="62"/>
      <c r="S276" s="55"/>
      <c r="Y276" s="55"/>
      <c r="Z276" s="55"/>
      <c r="AA276" s="55"/>
      <c r="AJ276" s="55"/>
    </row>
    <row r="277" ht="15.75" customHeight="1">
      <c r="A277" s="55"/>
      <c r="C277" s="55"/>
      <c r="E277" s="54"/>
      <c r="F277" s="55"/>
      <c r="H277" s="17" t="str">
        <f>IFERROR(VLOOKUP(A277, Registo_Diario_Motorista!$A$2:$M$5001, 13, FALSE), "")</f>
        <v/>
      </c>
      <c r="J277" s="62"/>
      <c r="K277" s="55"/>
      <c r="L277" s="62"/>
      <c r="S277" s="55"/>
      <c r="Y277" s="55"/>
      <c r="Z277" s="55"/>
      <c r="AA277" s="55"/>
      <c r="AJ277" s="55"/>
    </row>
    <row r="278" ht="15.75" customHeight="1">
      <c r="A278" s="55"/>
      <c r="C278" s="55"/>
      <c r="E278" s="54"/>
      <c r="F278" s="55"/>
      <c r="H278" s="17" t="str">
        <f>IFERROR(VLOOKUP(A278, Registo_Diario_Motorista!$A$2:$M$5001, 13, FALSE), "")</f>
        <v/>
      </c>
      <c r="J278" s="62"/>
      <c r="K278" s="55"/>
      <c r="L278" s="62"/>
      <c r="S278" s="55"/>
      <c r="Y278" s="55"/>
      <c r="Z278" s="55"/>
      <c r="AA278" s="55"/>
      <c r="AJ278" s="55"/>
    </row>
    <row r="279" ht="15.75" customHeight="1">
      <c r="A279" s="55"/>
      <c r="C279" s="55"/>
      <c r="E279" s="54"/>
      <c r="F279" s="55"/>
      <c r="H279" s="17" t="str">
        <f>IFERROR(VLOOKUP(A279, Registo_Diario_Motorista!$A$2:$M$5001, 13, FALSE), "")</f>
        <v/>
      </c>
      <c r="J279" s="62"/>
      <c r="K279" s="55"/>
      <c r="L279" s="62"/>
      <c r="S279" s="55"/>
      <c r="Y279" s="55"/>
      <c r="Z279" s="55"/>
      <c r="AA279" s="55"/>
      <c r="AJ279" s="55"/>
    </row>
    <row r="280" ht="15.75" customHeight="1">
      <c r="A280" s="55"/>
      <c r="C280" s="55"/>
      <c r="E280" s="54"/>
      <c r="F280" s="55"/>
      <c r="H280" s="17" t="str">
        <f>IFERROR(VLOOKUP(A280, Registo_Diario_Motorista!$A$2:$M$5001, 13, FALSE), "")</f>
        <v/>
      </c>
      <c r="J280" s="62"/>
      <c r="K280" s="55"/>
      <c r="L280" s="62"/>
      <c r="S280" s="55"/>
      <c r="Y280" s="55"/>
      <c r="Z280" s="55"/>
      <c r="AA280" s="55"/>
      <c r="AJ280" s="55"/>
    </row>
    <row r="281" ht="15.75" customHeight="1">
      <c r="A281" s="55"/>
      <c r="C281" s="55"/>
      <c r="E281" s="54"/>
      <c r="F281" s="55"/>
      <c r="H281" s="17" t="str">
        <f>IFERROR(VLOOKUP(A281, Registo_Diario_Motorista!$A$2:$M$5001, 13, FALSE), "")</f>
        <v/>
      </c>
      <c r="J281" s="62"/>
      <c r="K281" s="55"/>
      <c r="L281" s="62"/>
      <c r="S281" s="55"/>
      <c r="Y281" s="55"/>
      <c r="Z281" s="55"/>
      <c r="AA281" s="55"/>
      <c r="AJ281" s="55"/>
    </row>
    <row r="282" ht="15.75" customHeight="1">
      <c r="A282" s="55"/>
      <c r="C282" s="55"/>
      <c r="E282" s="54"/>
      <c r="F282" s="55"/>
      <c r="H282" s="17" t="str">
        <f>IFERROR(VLOOKUP(A282, Registo_Diario_Motorista!$A$2:$M$5001, 13, FALSE), "")</f>
        <v/>
      </c>
      <c r="J282" s="62"/>
      <c r="K282" s="55"/>
      <c r="L282" s="62"/>
      <c r="S282" s="55"/>
      <c r="Y282" s="55"/>
      <c r="Z282" s="55"/>
      <c r="AA282" s="55"/>
      <c r="AJ282" s="55"/>
    </row>
    <row r="283" ht="15.75" customHeight="1">
      <c r="A283" s="55"/>
      <c r="C283" s="55"/>
      <c r="E283" s="54"/>
      <c r="F283" s="55"/>
      <c r="H283" s="17" t="str">
        <f>IFERROR(VLOOKUP(A283, Registo_Diario_Motorista!$A$2:$M$5001, 13, FALSE), "")</f>
        <v/>
      </c>
      <c r="J283" s="62"/>
      <c r="K283" s="55"/>
      <c r="L283" s="62"/>
      <c r="S283" s="55"/>
      <c r="Y283" s="55"/>
      <c r="Z283" s="55"/>
      <c r="AA283" s="55"/>
      <c r="AJ283" s="55"/>
    </row>
    <row r="284" ht="15.75" customHeight="1">
      <c r="A284" s="55"/>
      <c r="C284" s="55"/>
      <c r="E284" s="54"/>
      <c r="F284" s="55"/>
      <c r="H284" s="17" t="str">
        <f>IFERROR(VLOOKUP(A284, Registo_Diario_Motorista!$A$2:$M$5001, 13, FALSE), "")</f>
        <v/>
      </c>
      <c r="J284" s="62"/>
      <c r="K284" s="55"/>
      <c r="L284" s="62"/>
      <c r="S284" s="55"/>
      <c r="Y284" s="55"/>
      <c r="Z284" s="55"/>
      <c r="AA284" s="55"/>
      <c r="AJ284" s="55"/>
    </row>
    <row r="285" ht="15.75" customHeight="1">
      <c r="A285" s="55"/>
      <c r="C285" s="55"/>
      <c r="E285" s="54"/>
      <c r="F285" s="55"/>
      <c r="H285" s="17" t="str">
        <f>IFERROR(VLOOKUP(A285, Registo_Diario_Motorista!$A$2:$M$5001, 13, FALSE), "")</f>
        <v/>
      </c>
      <c r="J285" s="62"/>
      <c r="K285" s="55"/>
      <c r="L285" s="62"/>
      <c r="S285" s="55"/>
      <c r="Y285" s="55"/>
      <c r="Z285" s="55"/>
      <c r="AA285" s="55"/>
      <c r="AJ285" s="55"/>
    </row>
    <row r="286" ht="15.75" customHeight="1">
      <c r="A286" s="55"/>
      <c r="C286" s="55"/>
      <c r="E286" s="54"/>
      <c r="F286" s="55"/>
      <c r="H286" s="17" t="str">
        <f>IFERROR(VLOOKUP(A286, Registo_Diario_Motorista!$A$2:$M$5001, 13, FALSE), "")</f>
        <v/>
      </c>
      <c r="J286" s="62"/>
      <c r="K286" s="55"/>
      <c r="L286" s="62"/>
      <c r="S286" s="55"/>
      <c r="Y286" s="55"/>
      <c r="Z286" s="55"/>
      <c r="AA286" s="55"/>
      <c r="AJ286" s="55"/>
    </row>
    <row r="287" ht="15.75" customHeight="1">
      <c r="A287" s="55"/>
      <c r="C287" s="55"/>
      <c r="E287" s="54"/>
      <c r="F287" s="55"/>
      <c r="H287" s="17" t="str">
        <f>IFERROR(VLOOKUP(A287, Registo_Diario_Motorista!$A$2:$M$5001, 13, FALSE), "")</f>
        <v/>
      </c>
      <c r="J287" s="62"/>
      <c r="K287" s="55"/>
      <c r="L287" s="62"/>
      <c r="S287" s="55"/>
      <c r="Y287" s="55"/>
      <c r="Z287" s="55"/>
      <c r="AA287" s="55"/>
      <c r="AJ287" s="55"/>
    </row>
    <row r="288" ht="15.75" customHeight="1">
      <c r="A288" s="55"/>
      <c r="C288" s="55"/>
      <c r="E288" s="54"/>
      <c r="F288" s="55"/>
      <c r="H288" s="17" t="str">
        <f>IFERROR(VLOOKUP(A288, Registo_Diario_Motorista!$A$2:$M$5001, 13, FALSE), "")</f>
        <v/>
      </c>
      <c r="J288" s="62"/>
      <c r="K288" s="55"/>
      <c r="L288" s="62"/>
      <c r="S288" s="55"/>
      <c r="Y288" s="55"/>
      <c r="Z288" s="55"/>
      <c r="AA288" s="55"/>
      <c r="AJ288" s="55"/>
    </row>
    <row r="289" ht="15.75" customHeight="1">
      <c r="A289" s="55"/>
      <c r="C289" s="55"/>
      <c r="E289" s="54"/>
      <c r="F289" s="55"/>
      <c r="H289" s="17" t="str">
        <f>IFERROR(VLOOKUP(A289, Registo_Diario_Motorista!$A$2:$M$5001, 13, FALSE), "")</f>
        <v/>
      </c>
      <c r="J289" s="62"/>
      <c r="K289" s="55"/>
      <c r="L289" s="62"/>
      <c r="S289" s="55"/>
      <c r="Y289" s="55"/>
      <c r="Z289" s="55"/>
      <c r="AA289" s="55"/>
      <c r="AJ289" s="55"/>
    </row>
    <row r="290" ht="15.75" customHeight="1">
      <c r="A290" s="55"/>
      <c r="C290" s="55"/>
      <c r="E290" s="54"/>
      <c r="F290" s="55"/>
      <c r="H290" s="17" t="str">
        <f>IFERROR(VLOOKUP(A290, Registo_Diario_Motorista!$A$2:$M$5001, 13, FALSE), "")</f>
        <v/>
      </c>
      <c r="J290" s="62"/>
      <c r="K290" s="55"/>
      <c r="L290" s="62"/>
      <c r="S290" s="55"/>
      <c r="Y290" s="55"/>
      <c r="Z290" s="55"/>
      <c r="AA290" s="55"/>
      <c r="AJ290" s="55"/>
    </row>
    <row r="291" ht="15.75" customHeight="1">
      <c r="A291" s="55"/>
      <c r="C291" s="55"/>
      <c r="E291" s="54"/>
      <c r="F291" s="55"/>
      <c r="H291" s="17" t="str">
        <f>IFERROR(VLOOKUP(A291, Registo_Diario_Motorista!$A$2:$M$5001, 13, FALSE), "")</f>
        <v/>
      </c>
      <c r="J291" s="62"/>
      <c r="K291" s="55"/>
      <c r="L291" s="62"/>
      <c r="S291" s="55"/>
      <c r="Y291" s="55"/>
      <c r="Z291" s="55"/>
      <c r="AA291" s="55"/>
      <c r="AJ291" s="55"/>
    </row>
    <row r="292" ht="15.75" customHeight="1">
      <c r="A292" s="55"/>
      <c r="C292" s="55"/>
      <c r="E292" s="54"/>
      <c r="F292" s="55"/>
      <c r="H292" s="17" t="str">
        <f>IFERROR(VLOOKUP(A292, Registo_Diario_Motorista!$A$2:$M$5001, 13, FALSE), "")</f>
        <v/>
      </c>
      <c r="J292" s="62"/>
      <c r="K292" s="55"/>
      <c r="L292" s="62"/>
      <c r="S292" s="55"/>
      <c r="Y292" s="55"/>
      <c r="Z292" s="55"/>
      <c r="AA292" s="55"/>
      <c r="AJ292" s="55"/>
    </row>
    <row r="293" ht="15.75" customHeight="1">
      <c r="A293" s="55"/>
      <c r="C293" s="55"/>
      <c r="E293" s="54"/>
      <c r="F293" s="55"/>
      <c r="H293" s="17" t="str">
        <f>IFERROR(VLOOKUP(A293, Registo_Diario_Motorista!$A$2:$M$5001, 13, FALSE), "")</f>
        <v/>
      </c>
      <c r="J293" s="62"/>
      <c r="K293" s="55"/>
      <c r="L293" s="62"/>
      <c r="S293" s="55"/>
      <c r="Y293" s="55"/>
      <c r="Z293" s="55"/>
      <c r="AA293" s="55"/>
      <c r="AJ293" s="55"/>
    </row>
    <row r="294" ht="15.75" customHeight="1">
      <c r="A294" s="55"/>
      <c r="C294" s="55"/>
      <c r="E294" s="54"/>
      <c r="F294" s="55"/>
      <c r="H294" s="17" t="str">
        <f>IFERROR(VLOOKUP(A294, Registo_Diario_Motorista!$A$2:$M$5001, 13, FALSE), "")</f>
        <v/>
      </c>
      <c r="J294" s="62"/>
      <c r="K294" s="55"/>
      <c r="L294" s="62"/>
      <c r="S294" s="55"/>
      <c r="Y294" s="55"/>
      <c r="Z294" s="55"/>
      <c r="AA294" s="55"/>
      <c r="AJ294" s="55"/>
    </row>
    <row r="295" ht="15.75" customHeight="1">
      <c r="A295" s="55"/>
      <c r="C295" s="55"/>
      <c r="E295" s="54"/>
      <c r="F295" s="55"/>
      <c r="H295" s="17" t="str">
        <f>IFERROR(VLOOKUP(A295, Registo_Diario_Motorista!$A$2:$M$5001, 13, FALSE), "")</f>
        <v/>
      </c>
      <c r="J295" s="62"/>
      <c r="K295" s="55"/>
      <c r="L295" s="62"/>
      <c r="S295" s="55"/>
      <c r="Y295" s="55"/>
      <c r="Z295" s="55"/>
      <c r="AA295" s="55"/>
      <c r="AJ295" s="55"/>
    </row>
    <row r="296" ht="15.75" customHeight="1">
      <c r="A296" s="55"/>
      <c r="C296" s="55"/>
      <c r="E296" s="54"/>
      <c r="F296" s="55"/>
      <c r="H296" s="55"/>
      <c r="J296" s="62"/>
      <c r="K296" s="55"/>
      <c r="L296" s="62"/>
      <c r="S296" s="55"/>
      <c r="Y296" s="55"/>
      <c r="Z296" s="55"/>
      <c r="AA296" s="55"/>
      <c r="AJ296" s="55"/>
    </row>
    <row r="297" ht="15.75" customHeight="1">
      <c r="A297" s="55"/>
      <c r="C297" s="55"/>
      <c r="E297" s="54"/>
      <c r="F297" s="55"/>
      <c r="H297" s="55"/>
      <c r="J297" s="62"/>
      <c r="K297" s="55"/>
      <c r="L297" s="62"/>
      <c r="S297" s="55"/>
      <c r="Y297" s="55"/>
      <c r="Z297" s="55"/>
      <c r="AA297" s="55"/>
      <c r="AJ297" s="55"/>
    </row>
    <row r="298" ht="15.75" customHeight="1">
      <c r="A298" s="55"/>
      <c r="C298" s="55"/>
      <c r="E298" s="54"/>
      <c r="F298" s="55"/>
      <c r="H298" s="55"/>
      <c r="J298" s="62"/>
      <c r="K298" s="55"/>
      <c r="L298" s="62"/>
      <c r="S298" s="55"/>
      <c r="Y298" s="55"/>
      <c r="Z298" s="55"/>
      <c r="AA298" s="55"/>
      <c r="AJ298" s="55"/>
    </row>
    <row r="299" ht="15.75" customHeight="1">
      <c r="A299" s="55"/>
      <c r="C299" s="55"/>
      <c r="E299" s="54"/>
      <c r="F299" s="55"/>
      <c r="H299" s="55"/>
      <c r="J299" s="62"/>
      <c r="K299" s="55"/>
      <c r="L299" s="62"/>
      <c r="S299" s="55"/>
      <c r="Y299" s="55"/>
      <c r="Z299" s="55"/>
      <c r="AA299" s="55"/>
      <c r="AJ299" s="55"/>
    </row>
    <row r="300" ht="15.75" customHeight="1">
      <c r="A300" s="55"/>
      <c r="C300" s="55"/>
      <c r="E300" s="54"/>
      <c r="F300" s="55"/>
      <c r="H300" s="55"/>
      <c r="J300" s="62"/>
      <c r="K300" s="55"/>
      <c r="L300" s="62"/>
      <c r="S300" s="55"/>
      <c r="Y300" s="55"/>
      <c r="Z300" s="55"/>
      <c r="AA300" s="55"/>
      <c r="AJ300" s="55"/>
    </row>
    <row r="301" ht="15.75" customHeight="1">
      <c r="A301" s="55"/>
      <c r="C301" s="55"/>
      <c r="E301" s="54"/>
      <c r="F301" s="55"/>
      <c r="H301" s="55"/>
      <c r="J301" s="62"/>
      <c r="K301" s="55"/>
      <c r="L301" s="62"/>
      <c r="S301" s="55"/>
      <c r="Y301" s="55"/>
      <c r="Z301" s="55"/>
      <c r="AA301" s="55"/>
      <c r="AJ301" s="55"/>
    </row>
    <row r="302" ht="15.75" customHeight="1">
      <c r="A302" s="55"/>
      <c r="C302" s="55"/>
      <c r="E302" s="54"/>
      <c r="F302" s="55"/>
      <c r="H302" s="55"/>
      <c r="J302" s="62"/>
      <c r="K302" s="55"/>
      <c r="L302" s="62"/>
      <c r="S302" s="55"/>
      <c r="Y302" s="55"/>
      <c r="Z302" s="55"/>
      <c r="AA302" s="55"/>
      <c r="AJ302" s="55"/>
    </row>
    <row r="303" ht="15.75" customHeight="1">
      <c r="A303" s="55"/>
      <c r="C303" s="55"/>
      <c r="E303" s="54"/>
      <c r="F303" s="55"/>
      <c r="H303" s="55"/>
      <c r="J303" s="62"/>
      <c r="K303" s="55"/>
      <c r="L303" s="62"/>
      <c r="S303" s="55"/>
      <c r="Y303" s="55"/>
      <c r="Z303" s="55"/>
      <c r="AA303" s="55"/>
      <c r="AJ303" s="55"/>
    </row>
    <row r="304" ht="15.75" customHeight="1">
      <c r="A304" s="55"/>
      <c r="C304" s="55"/>
      <c r="E304" s="54"/>
      <c r="F304" s="55"/>
      <c r="H304" s="55"/>
      <c r="J304" s="62"/>
      <c r="K304" s="55"/>
      <c r="L304" s="62"/>
      <c r="S304" s="55"/>
      <c r="Y304" s="55"/>
      <c r="Z304" s="55"/>
      <c r="AA304" s="55"/>
      <c r="AJ304" s="55"/>
    </row>
    <row r="305" ht="15.75" customHeight="1">
      <c r="A305" s="55"/>
      <c r="C305" s="55"/>
      <c r="E305" s="54"/>
      <c r="F305" s="55"/>
      <c r="H305" s="55"/>
      <c r="J305" s="62"/>
      <c r="K305" s="55"/>
      <c r="L305" s="62"/>
      <c r="S305" s="55"/>
      <c r="Y305" s="55"/>
      <c r="Z305" s="55"/>
      <c r="AA305" s="55"/>
      <c r="AJ305" s="55"/>
    </row>
    <row r="306" ht="15.75" customHeight="1">
      <c r="A306" s="55"/>
      <c r="C306" s="55"/>
      <c r="E306" s="54"/>
      <c r="F306" s="55"/>
      <c r="H306" s="55"/>
      <c r="J306" s="62"/>
      <c r="K306" s="55"/>
      <c r="L306" s="62"/>
      <c r="S306" s="55"/>
      <c r="Y306" s="55"/>
      <c r="Z306" s="55"/>
      <c r="AA306" s="55"/>
      <c r="AJ306" s="55"/>
    </row>
    <row r="307" ht="15.75" customHeight="1">
      <c r="A307" s="55"/>
      <c r="C307" s="55"/>
      <c r="E307" s="54"/>
      <c r="F307" s="55"/>
      <c r="H307" s="55"/>
      <c r="J307" s="62"/>
      <c r="K307" s="55"/>
      <c r="L307" s="62"/>
      <c r="S307" s="55"/>
      <c r="Y307" s="55"/>
      <c r="Z307" s="55"/>
      <c r="AA307" s="55"/>
      <c r="AJ307" s="55"/>
    </row>
    <row r="308" ht="15.75" customHeight="1">
      <c r="A308" s="55"/>
      <c r="C308" s="55"/>
      <c r="E308" s="54"/>
      <c r="F308" s="55"/>
      <c r="H308" s="55"/>
      <c r="J308" s="62"/>
      <c r="K308" s="55"/>
      <c r="L308" s="62"/>
      <c r="S308" s="55"/>
      <c r="Y308" s="55"/>
      <c r="Z308" s="55"/>
      <c r="AA308" s="55"/>
      <c r="AJ308" s="55"/>
    </row>
    <row r="309" ht="15.75" customHeight="1">
      <c r="A309" s="55"/>
      <c r="C309" s="55"/>
      <c r="E309" s="54"/>
      <c r="F309" s="55"/>
      <c r="H309" s="55"/>
      <c r="J309" s="62"/>
      <c r="K309" s="55"/>
      <c r="L309" s="62"/>
      <c r="S309" s="55"/>
      <c r="Y309" s="55"/>
      <c r="Z309" s="55"/>
      <c r="AA309" s="55"/>
      <c r="AJ309" s="55"/>
    </row>
    <row r="310" ht="15.75" customHeight="1">
      <c r="A310" s="55"/>
      <c r="C310" s="55"/>
      <c r="E310" s="54"/>
      <c r="F310" s="55"/>
      <c r="H310" s="55"/>
      <c r="J310" s="62"/>
      <c r="K310" s="55"/>
      <c r="L310" s="62"/>
      <c r="S310" s="55"/>
      <c r="Y310" s="55"/>
      <c r="Z310" s="55"/>
      <c r="AA310" s="55"/>
      <c r="AJ310" s="55"/>
    </row>
    <row r="311" ht="15.75" customHeight="1">
      <c r="A311" s="55"/>
      <c r="C311" s="55"/>
      <c r="E311" s="54"/>
      <c r="F311" s="55"/>
      <c r="H311" s="55"/>
      <c r="J311" s="62"/>
      <c r="K311" s="55"/>
      <c r="L311" s="62"/>
      <c r="S311" s="55"/>
      <c r="Y311" s="55"/>
      <c r="Z311" s="55"/>
      <c r="AA311" s="55"/>
      <c r="AJ311" s="55"/>
    </row>
    <row r="312" ht="15.75" customHeight="1">
      <c r="A312" s="55"/>
      <c r="C312" s="55"/>
      <c r="E312" s="54"/>
      <c r="F312" s="55"/>
      <c r="H312" s="55"/>
      <c r="J312" s="62"/>
      <c r="K312" s="55"/>
      <c r="L312" s="62"/>
      <c r="S312" s="55"/>
      <c r="Y312" s="55"/>
      <c r="Z312" s="55"/>
      <c r="AA312" s="55"/>
      <c r="AJ312" s="55"/>
    </row>
    <row r="313" ht="15.75" customHeight="1">
      <c r="A313" s="55"/>
      <c r="C313" s="55"/>
      <c r="E313" s="54"/>
      <c r="F313" s="55"/>
      <c r="H313" s="55"/>
      <c r="J313" s="62"/>
      <c r="K313" s="55"/>
      <c r="L313" s="62"/>
      <c r="S313" s="55"/>
      <c r="Y313" s="55"/>
      <c r="Z313" s="55"/>
      <c r="AA313" s="55"/>
      <c r="AJ313" s="55"/>
    </row>
    <row r="314" ht="15.75" customHeight="1">
      <c r="A314" s="55"/>
      <c r="C314" s="55"/>
      <c r="E314" s="54"/>
      <c r="F314" s="55"/>
      <c r="H314" s="55"/>
      <c r="J314" s="62"/>
      <c r="K314" s="55"/>
      <c r="L314" s="62"/>
      <c r="S314" s="55"/>
      <c r="Y314" s="55"/>
      <c r="Z314" s="55"/>
      <c r="AA314" s="55"/>
      <c r="AJ314" s="55"/>
    </row>
    <row r="315" ht="15.75" customHeight="1">
      <c r="A315" s="55"/>
      <c r="C315" s="55"/>
      <c r="E315" s="54"/>
      <c r="F315" s="55"/>
      <c r="H315" s="55"/>
      <c r="J315" s="62"/>
      <c r="K315" s="55"/>
      <c r="L315" s="62"/>
      <c r="S315" s="55"/>
      <c r="Y315" s="55"/>
      <c r="Z315" s="55"/>
      <c r="AA315" s="55"/>
      <c r="AJ315" s="55"/>
    </row>
    <row r="316" ht="15.75" customHeight="1">
      <c r="A316" s="55"/>
      <c r="C316" s="55"/>
      <c r="E316" s="54"/>
      <c r="F316" s="55"/>
      <c r="H316" s="55"/>
      <c r="J316" s="62"/>
      <c r="K316" s="55"/>
      <c r="L316" s="62"/>
      <c r="S316" s="55"/>
      <c r="Y316" s="55"/>
      <c r="Z316" s="55"/>
      <c r="AA316" s="55"/>
      <c r="AJ316" s="55"/>
    </row>
    <row r="317" ht="15.75" customHeight="1">
      <c r="A317" s="55"/>
      <c r="C317" s="55"/>
      <c r="E317" s="54"/>
      <c r="F317" s="55"/>
      <c r="H317" s="55"/>
      <c r="J317" s="62"/>
      <c r="K317" s="55"/>
      <c r="L317" s="62"/>
      <c r="S317" s="55"/>
      <c r="Y317" s="55"/>
      <c r="Z317" s="55"/>
      <c r="AA317" s="55"/>
      <c r="AJ317" s="55"/>
    </row>
    <row r="318" ht="15.75" customHeight="1">
      <c r="A318" s="55"/>
      <c r="C318" s="55"/>
      <c r="E318" s="54"/>
      <c r="F318" s="55"/>
      <c r="H318" s="55"/>
      <c r="J318" s="62"/>
      <c r="K318" s="55"/>
      <c r="L318" s="62"/>
      <c r="S318" s="55"/>
      <c r="Y318" s="55"/>
      <c r="Z318" s="55"/>
      <c r="AA318" s="55"/>
      <c r="AJ318" s="55"/>
    </row>
    <row r="319" ht="15.75" customHeight="1">
      <c r="A319" s="55"/>
      <c r="C319" s="55"/>
      <c r="E319" s="54"/>
      <c r="F319" s="55"/>
      <c r="H319" s="55"/>
      <c r="J319" s="62"/>
      <c r="K319" s="55"/>
      <c r="L319" s="62"/>
      <c r="S319" s="55"/>
      <c r="Y319" s="55"/>
      <c r="Z319" s="55"/>
      <c r="AA319" s="55"/>
      <c r="AJ319" s="55"/>
    </row>
    <row r="320" ht="15.75" customHeight="1">
      <c r="A320" s="55"/>
      <c r="C320" s="55"/>
      <c r="E320" s="54"/>
      <c r="F320" s="55"/>
      <c r="H320" s="55"/>
      <c r="J320" s="62"/>
      <c r="K320" s="55"/>
      <c r="L320" s="62"/>
      <c r="S320" s="55"/>
      <c r="Y320" s="55"/>
      <c r="Z320" s="55"/>
      <c r="AA320" s="55"/>
      <c r="AJ320" s="55"/>
    </row>
    <row r="321" ht="15.75" customHeight="1">
      <c r="A321" s="55"/>
      <c r="C321" s="55"/>
      <c r="E321" s="54"/>
      <c r="F321" s="55"/>
      <c r="H321" s="55"/>
      <c r="J321" s="62"/>
      <c r="K321" s="55"/>
      <c r="L321" s="62"/>
      <c r="S321" s="55"/>
      <c r="Y321" s="55"/>
      <c r="Z321" s="55"/>
      <c r="AA321" s="55"/>
      <c r="AJ321" s="55"/>
    </row>
    <row r="322" ht="15.75" customHeight="1">
      <c r="A322" s="55"/>
      <c r="C322" s="55"/>
      <c r="E322" s="54"/>
      <c r="F322" s="55"/>
      <c r="H322" s="55"/>
      <c r="J322" s="62"/>
      <c r="K322" s="55"/>
      <c r="L322" s="62"/>
      <c r="S322" s="55"/>
      <c r="Y322" s="55"/>
      <c r="Z322" s="55"/>
      <c r="AA322" s="55"/>
      <c r="AJ322" s="55"/>
    </row>
    <row r="323" ht="15.75" customHeight="1">
      <c r="A323" s="55"/>
      <c r="C323" s="55"/>
      <c r="E323" s="54"/>
      <c r="F323" s="55"/>
      <c r="H323" s="55"/>
      <c r="J323" s="62"/>
      <c r="K323" s="55"/>
      <c r="L323" s="62"/>
      <c r="S323" s="55"/>
      <c r="Y323" s="55"/>
      <c r="Z323" s="55"/>
      <c r="AA323" s="55"/>
      <c r="AJ323" s="55"/>
    </row>
    <row r="324" ht="15.75" customHeight="1">
      <c r="A324" s="55"/>
      <c r="C324" s="55"/>
      <c r="E324" s="54"/>
      <c r="F324" s="55"/>
      <c r="H324" s="55"/>
      <c r="J324" s="62"/>
      <c r="K324" s="55"/>
      <c r="L324" s="62"/>
      <c r="S324" s="55"/>
      <c r="Y324" s="55"/>
      <c r="Z324" s="55"/>
      <c r="AA324" s="55"/>
      <c r="AJ324" s="55"/>
    </row>
    <row r="325" ht="15.75" customHeight="1">
      <c r="A325" s="55"/>
      <c r="C325" s="55"/>
      <c r="E325" s="54"/>
      <c r="F325" s="55"/>
      <c r="H325" s="55"/>
      <c r="J325" s="62"/>
      <c r="K325" s="55"/>
      <c r="L325" s="62"/>
      <c r="S325" s="55"/>
      <c r="Y325" s="55"/>
      <c r="Z325" s="55"/>
      <c r="AA325" s="55"/>
      <c r="AJ325" s="55"/>
    </row>
    <row r="326" ht="15.75" customHeight="1">
      <c r="A326" s="55"/>
      <c r="C326" s="55"/>
      <c r="E326" s="54"/>
      <c r="F326" s="55"/>
      <c r="H326" s="55"/>
      <c r="J326" s="62"/>
      <c r="K326" s="55"/>
      <c r="L326" s="62"/>
      <c r="S326" s="55"/>
      <c r="Y326" s="55"/>
      <c r="Z326" s="55"/>
      <c r="AA326" s="55"/>
      <c r="AJ326" s="55"/>
    </row>
    <row r="327" ht="15.75" customHeight="1">
      <c r="A327" s="55"/>
      <c r="C327" s="55"/>
      <c r="E327" s="54"/>
      <c r="F327" s="55"/>
      <c r="H327" s="55"/>
      <c r="J327" s="62"/>
      <c r="K327" s="55"/>
      <c r="L327" s="62"/>
      <c r="S327" s="55"/>
      <c r="Y327" s="55"/>
      <c r="Z327" s="55"/>
      <c r="AA327" s="55"/>
      <c r="AJ327" s="55"/>
    </row>
    <row r="328" ht="15.75" customHeight="1">
      <c r="A328" s="55"/>
      <c r="C328" s="55"/>
      <c r="E328" s="54"/>
      <c r="F328" s="55"/>
      <c r="H328" s="55"/>
      <c r="J328" s="62"/>
      <c r="K328" s="55"/>
      <c r="L328" s="62"/>
      <c r="S328" s="55"/>
      <c r="Y328" s="55"/>
      <c r="Z328" s="55"/>
      <c r="AA328" s="55"/>
      <c r="AJ328" s="55"/>
    </row>
    <row r="329" ht="15.75" customHeight="1">
      <c r="A329" s="55"/>
      <c r="C329" s="55"/>
      <c r="E329" s="54"/>
      <c r="F329" s="55"/>
      <c r="H329" s="55"/>
      <c r="J329" s="62"/>
      <c r="K329" s="55"/>
      <c r="L329" s="62"/>
      <c r="S329" s="55"/>
      <c r="Y329" s="55"/>
      <c r="Z329" s="55"/>
      <c r="AA329" s="55"/>
      <c r="AJ329" s="55"/>
    </row>
    <row r="330" ht="15.75" customHeight="1">
      <c r="A330" s="55"/>
      <c r="C330" s="55"/>
      <c r="E330" s="54"/>
      <c r="F330" s="55"/>
      <c r="H330" s="55"/>
      <c r="J330" s="62"/>
      <c r="K330" s="55"/>
      <c r="L330" s="62"/>
      <c r="S330" s="55"/>
      <c r="Y330" s="55"/>
      <c r="Z330" s="55"/>
      <c r="AA330" s="55"/>
      <c r="AJ330" s="55"/>
    </row>
    <row r="331" ht="15.75" customHeight="1">
      <c r="A331" s="55"/>
      <c r="C331" s="55"/>
      <c r="E331" s="54"/>
      <c r="F331" s="55"/>
      <c r="H331" s="55"/>
      <c r="J331" s="62"/>
      <c r="K331" s="55"/>
      <c r="L331" s="62"/>
      <c r="S331" s="55"/>
      <c r="Y331" s="55"/>
      <c r="Z331" s="55"/>
      <c r="AA331" s="55"/>
      <c r="AJ331" s="55"/>
    </row>
    <row r="332" ht="15.75" customHeight="1">
      <c r="A332" s="55"/>
      <c r="C332" s="55"/>
      <c r="E332" s="54"/>
      <c r="F332" s="55"/>
      <c r="H332" s="55"/>
      <c r="J332" s="62"/>
      <c r="K332" s="55"/>
      <c r="L332" s="62"/>
      <c r="S332" s="55"/>
      <c r="Y332" s="55"/>
      <c r="Z332" s="55"/>
      <c r="AA332" s="55"/>
      <c r="AJ332" s="55"/>
    </row>
    <row r="333" ht="15.75" customHeight="1">
      <c r="A333" s="55"/>
      <c r="C333" s="55"/>
      <c r="E333" s="54"/>
      <c r="F333" s="55"/>
      <c r="H333" s="55"/>
      <c r="J333" s="62"/>
      <c r="K333" s="55"/>
      <c r="L333" s="62"/>
      <c r="S333" s="55"/>
      <c r="Y333" s="55"/>
      <c r="Z333" s="55"/>
      <c r="AA333" s="55"/>
      <c r="AJ333" s="55"/>
    </row>
    <row r="334" ht="15.75" customHeight="1">
      <c r="A334" s="55"/>
      <c r="C334" s="55"/>
      <c r="E334" s="54"/>
      <c r="F334" s="55"/>
      <c r="H334" s="55"/>
      <c r="J334" s="62"/>
      <c r="K334" s="55"/>
      <c r="L334" s="62"/>
      <c r="S334" s="55"/>
      <c r="Y334" s="55"/>
      <c r="Z334" s="55"/>
      <c r="AA334" s="55"/>
      <c r="AJ334" s="55"/>
    </row>
    <row r="335" ht="15.75" customHeight="1">
      <c r="A335" s="55"/>
      <c r="C335" s="55"/>
      <c r="E335" s="54"/>
      <c r="F335" s="55"/>
      <c r="H335" s="55"/>
      <c r="J335" s="62"/>
      <c r="K335" s="55"/>
      <c r="L335" s="62"/>
      <c r="S335" s="55"/>
      <c r="Y335" s="55"/>
      <c r="Z335" s="55"/>
      <c r="AA335" s="55"/>
      <c r="AJ335" s="55"/>
    </row>
    <row r="336" ht="15.75" customHeight="1">
      <c r="A336" s="55"/>
      <c r="C336" s="55"/>
      <c r="E336" s="54"/>
      <c r="F336" s="55"/>
      <c r="H336" s="55"/>
      <c r="J336" s="62"/>
      <c r="K336" s="55"/>
      <c r="L336" s="62"/>
      <c r="S336" s="55"/>
      <c r="Y336" s="55"/>
      <c r="Z336" s="55"/>
      <c r="AA336" s="55"/>
      <c r="AJ336" s="55"/>
    </row>
    <row r="337" ht="15.75" customHeight="1">
      <c r="A337" s="55"/>
      <c r="C337" s="55"/>
      <c r="E337" s="54"/>
      <c r="F337" s="55"/>
      <c r="H337" s="55"/>
      <c r="J337" s="62"/>
      <c r="K337" s="55"/>
      <c r="L337" s="62"/>
      <c r="S337" s="55"/>
      <c r="Y337" s="55"/>
      <c r="Z337" s="55"/>
      <c r="AA337" s="55"/>
      <c r="AJ337" s="55"/>
    </row>
    <row r="338" ht="15.75" customHeight="1">
      <c r="A338" s="55"/>
      <c r="C338" s="55"/>
      <c r="E338" s="54"/>
      <c r="F338" s="55"/>
      <c r="H338" s="55"/>
      <c r="J338" s="62"/>
      <c r="K338" s="55"/>
      <c r="L338" s="62"/>
      <c r="S338" s="55"/>
      <c r="Y338" s="55"/>
      <c r="Z338" s="55"/>
      <c r="AA338" s="55"/>
      <c r="AJ338" s="55"/>
    </row>
    <row r="339" ht="15.75" customHeight="1">
      <c r="A339" s="55"/>
      <c r="C339" s="55"/>
      <c r="E339" s="54"/>
      <c r="F339" s="55"/>
      <c r="H339" s="55"/>
      <c r="J339" s="62"/>
      <c r="K339" s="55"/>
      <c r="L339" s="62"/>
      <c r="S339" s="55"/>
      <c r="Y339" s="55"/>
      <c r="Z339" s="55"/>
      <c r="AA339" s="55"/>
      <c r="AJ339" s="55"/>
    </row>
    <row r="340" ht="15.75" customHeight="1">
      <c r="A340" s="55"/>
      <c r="C340" s="55"/>
      <c r="E340" s="54"/>
      <c r="F340" s="55"/>
      <c r="H340" s="55"/>
      <c r="J340" s="62"/>
      <c r="K340" s="55"/>
      <c r="L340" s="62"/>
      <c r="S340" s="55"/>
      <c r="Y340" s="55"/>
      <c r="Z340" s="55"/>
      <c r="AA340" s="55"/>
      <c r="AJ340" s="55"/>
    </row>
    <row r="341" ht="15.75" customHeight="1">
      <c r="A341" s="55"/>
      <c r="C341" s="55"/>
      <c r="E341" s="54"/>
      <c r="F341" s="55"/>
      <c r="H341" s="55"/>
      <c r="J341" s="62"/>
      <c r="K341" s="55"/>
      <c r="L341" s="62"/>
      <c r="S341" s="55"/>
      <c r="Y341" s="55"/>
      <c r="Z341" s="55"/>
      <c r="AA341" s="55"/>
      <c r="AJ341" s="55"/>
    </row>
    <row r="342" ht="15.75" customHeight="1">
      <c r="A342" s="55"/>
      <c r="C342" s="55"/>
      <c r="E342" s="54"/>
      <c r="F342" s="55"/>
      <c r="H342" s="55"/>
      <c r="J342" s="62"/>
      <c r="K342" s="55"/>
      <c r="L342" s="62"/>
      <c r="S342" s="55"/>
      <c r="Y342" s="55"/>
      <c r="Z342" s="55"/>
      <c r="AA342" s="55"/>
      <c r="AJ342" s="55"/>
    </row>
    <row r="343" ht="15.75" customHeight="1">
      <c r="A343" s="55"/>
      <c r="C343" s="55"/>
      <c r="E343" s="54"/>
      <c r="F343" s="55"/>
      <c r="H343" s="55"/>
      <c r="J343" s="62"/>
      <c r="K343" s="55"/>
      <c r="L343" s="62"/>
      <c r="S343" s="55"/>
      <c r="Y343" s="55"/>
      <c r="Z343" s="55"/>
      <c r="AA343" s="55"/>
      <c r="AJ343" s="55"/>
    </row>
    <row r="344" ht="15.75" customHeight="1">
      <c r="A344" s="55"/>
      <c r="C344" s="55"/>
      <c r="E344" s="54"/>
      <c r="F344" s="55"/>
      <c r="H344" s="55"/>
      <c r="J344" s="62"/>
      <c r="K344" s="55"/>
      <c r="L344" s="62"/>
      <c r="S344" s="55"/>
      <c r="Y344" s="55"/>
      <c r="Z344" s="55"/>
      <c r="AA344" s="55"/>
      <c r="AJ344" s="55"/>
    </row>
    <row r="345" ht="15.75" customHeight="1">
      <c r="A345" s="55"/>
      <c r="C345" s="55"/>
      <c r="E345" s="54"/>
      <c r="F345" s="55"/>
      <c r="H345" s="55"/>
      <c r="J345" s="62"/>
      <c r="K345" s="55"/>
      <c r="L345" s="62"/>
      <c r="S345" s="55"/>
      <c r="Y345" s="55"/>
      <c r="Z345" s="55"/>
      <c r="AA345" s="55"/>
      <c r="AJ345" s="55"/>
    </row>
    <row r="346" ht="15.75" customHeight="1">
      <c r="A346" s="55"/>
      <c r="C346" s="55"/>
      <c r="E346" s="54"/>
      <c r="F346" s="55"/>
      <c r="H346" s="55"/>
      <c r="J346" s="62"/>
      <c r="K346" s="55"/>
      <c r="L346" s="62"/>
      <c r="S346" s="55"/>
      <c r="Y346" s="55"/>
      <c r="Z346" s="55"/>
      <c r="AA346" s="55"/>
      <c r="AJ346" s="55"/>
    </row>
    <row r="347" ht="15.75" customHeight="1">
      <c r="A347" s="55"/>
      <c r="C347" s="55"/>
      <c r="E347" s="54"/>
      <c r="F347" s="55"/>
      <c r="H347" s="55"/>
      <c r="J347" s="62"/>
      <c r="K347" s="55"/>
      <c r="L347" s="62"/>
      <c r="S347" s="55"/>
      <c r="Y347" s="55"/>
      <c r="Z347" s="55"/>
      <c r="AA347" s="55"/>
      <c r="AJ347" s="55"/>
    </row>
    <row r="348" ht="15.75" customHeight="1">
      <c r="A348" s="55"/>
      <c r="C348" s="55"/>
      <c r="E348" s="54"/>
      <c r="F348" s="55"/>
      <c r="H348" s="55"/>
      <c r="J348" s="62"/>
      <c r="K348" s="55"/>
      <c r="L348" s="62"/>
      <c r="S348" s="55"/>
      <c r="Y348" s="55"/>
      <c r="Z348" s="55"/>
      <c r="AA348" s="55"/>
      <c r="AJ348" s="55"/>
    </row>
    <row r="349" ht="15.75" customHeight="1">
      <c r="A349" s="55"/>
      <c r="C349" s="55"/>
      <c r="E349" s="54"/>
      <c r="F349" s="55"/>
      <c r="H349" s="55"/>
      <c r="J349" s="62"/>
      <c r="K349" s="55"/>
      <c r="L349" s="62"/>
      <c r="S349" s="55"/>
      <c r="Y349" s="55"/>
      <c r="Z349" s="55"/>
      <c r="AA349" s="55"/>
      <c r="AJ349" s="55"/>
    </row>
    <row r="350" ht="15.75" customHeight="1">
      <c r="A350" s="55"/>
      <c r="C350" s="55"/>
      <c r="E350" s="54"/>
      <c r="F350" s="55"/>
      <c r="H350" s="55"/>
      <c r="J350" s="62"/>
      <c r="K350" s="55"/>
      <c r="L350" s="62"/>
      <c r="S350" s="55"/>
      <c r="Y350" s="55"/>
      <c r="Z350" s="55"/>
      <c r="AA350" s="55"/>
      <c r="AJ350" s="55"/>
    </row>
    <row r="351" ht="15.75" customHeight="1">
      <c r="A351" s="55"/>
      <c r="C351" s="55"/>
      <c r="E351" s="54"/>
      <c r="F351" s="55"/>
      <c r="H351" s="55"/>
      <c r="J351" s="62"/>
      <c r="K351" s="55"/>
      <c r="L351" s="62"/>
      <c r="S351" s="55"/>
      <c r="Y351" s="55"/>
      <c r="Z351" s="55"/>
      <c r="AA351" s="55"/>
      <c r="AJ351" s="55"/>
    </row>
    <row r="352" ht="15.75" customHeight="1">
      <c r="A352" s="55"/>
      <c r="C352" s="55"/>
      <c r="E352" s="54"/>
      <c r="F352" s="55"/>
      <c r="H352" s="55"/>
      <c r="J352" s="62"/>
      <c r="K352" s="55"/>
      <c r="L352" s="62"/>
      <c r="S352" s="55"/>
      <c r="Y352" s="55"/>
      <c r="Z352" s="55"/>
      <c r="AA352" s="55"/>
      <c r="AJ352" s="55"/>
    </row>
    <row r="353" ht="15.75" customHeight="1">
      <c r="A353" s="55"/>
      <c r="C353" s="55"/>
      <c r="E353" s="54"/>
      <c r="F353" s="55"/>
      <c r="H353" s="55"/>
      <c r="J353" s="62"/>
      <c r="K353" s="55"/>
      <c r="L353" s="62"/>
      <c r="S353" s="55"/>
      <c r="Y353" s="55"/>
      <c r="Z353" s="55"/>
      <c r="AA353" s="55"/>
      <c r="AJ353" s="55"/>
    </row>
    <row r="354" ht="15.75" customHeight="1">
      <c r="A354" s="55"/>
      <c r="C354" s="55"/>
      <c r="E354" s="54"/>
      <c r="F354" s="55"/>
      <c r="H354" s="55"/>
      <c r="J354" s="62"/>
      <c r="K354" s="55"/>
      <c r="L354" s="62"/>
      <c r="S354" s="55"/>
      <c r="Y354" s="55"/>
      <c r="Z354" s="55"/>
      <c r="AA354" s="55"/>
      <c r="AJ354" s="55"/>
    </row>
    <row r="355" ht="15.75" customHeight="1">
      <c r="A355" s="55"/>
      <c r="C355" s="55"/>
      <c r="E355" s="54"/>
      <c r="F355" s="55"/>
      <c r="H355" s="55"/>
      <c r="J355" s="62"/>
      <c r="K355" s="55"/>
      <c r="L355" s="62"/>
      <c r="S355" s="55"/>
      <c r="Y355" s="55"/>
      <c r="Z355" s="55"/>
      <c r="AA355" s="55"/>
      <c r="AJ355" s="55"/>
    </row>
    <row r="356" ht="15.75" customHeight="1">
      <c r="A356" s="55"/>
      <c r="C356" s="55"/>
      <c r="E356" s="54"/>
      <c r="F356" s="55"/>
      <c r="H356" s="55"/>
      <c r="J356" s="62"/>
      <c r="K356" s="55"/>
      <c r="L356" s="62"/>
      <c r="S356" s="55"/>
      <c r="Y356" s="55"/>
      <c r="Z356" s="55"/>
      <c r="AA356" s="55"/>
      <c r="AJ356" s="55"/>
    </row>
    <row r="357" ht="15.75" customHeight="1">
      <c r="A357" s="55"/>
      <c r="C357" s="55"/>
      <c r="E357" s="54"/>
      <c r="F357" s="55"/>
      <c r="H357" s="55"/>
      <c r="J357" s="62"/>
      <c r="K357" s="55"/>
      <c r="L357" s="62"/>
      <c r="S357" s="55"/>
      <c r="Y357" s="55"/>
      <c r="Z357" s="55"/>
      <c r="AA357" s="55"/>
      <c r="AJ357" s="55"/>
    </row>
    <row r="358" ht="15.75" customHeight="1">
      <c r="A358" s="55"/>
      <c r="C358" s="55"/>
      <c r="E358" s="54"/>
      <c r="F358" s="55"/>
      <c r="H358" s="55"/>
      <c r="J358" s="62"/>
      <c r="K358" s="55"/>
      <c r="L358" s="62"/>
      <c r="S358" s="55"/>
      <c r="Y358" s="55"/>
      <c r="Z358" s="55"/>
      <c r="AA358" s="55"/>
      <c r="AJ358" s="55"/>
    </row>
    <row r="359" ht="15.75" customHeight="1">
      <c r="A359" s="55"/>
      <c r="C359" s="55"/>
      <c r="E359" s="54"/>
      <c r="F359" s="55"/>
      <c r="H359" s="55"/>
      <c r="J359" s="62"/>
      <c r="K359" s="55"/>
      <c r="L359" s="62"/>
      <c r="S359" s="55"/>
      <c r="Y359" s="55"/>
      <c r="Z359" s="55"/>
      <c r="AA359" s="55"/>
      <c r="AJ359" s="55"/>
    </row>
    <row r="360" ht="15.75" customHeight="1">
      <c r="A360" s="55"/>
      <c r="C360" s="55"/>
      <c r="E360" s="54"/>
      <c r="F360" s="55"/>
      <c r="H360" s="55"/>
      <c r="J360" s="62"/>
      <c r="K360" s="55"/>
      <c r="L360" s="62"/>
      <c r="S360" s="55"/>
      <c r="Y360" s="55"/>
      <c r="Z360" s="55"/>
      <c r="AA360" s="55"/>
      <c r="AJ360" s="55"/>
    </row>
    <row r="361" ht="15.75" customHeight="1">
      <c r="A361" s="55"/>
      <c r="C361" s="55"/>
      <c r="E361" s="54"/>
      <c r="F361" s="55"/>
      <c r="H361" s="55"/>
      <c r="J361" s="62"/>
      <c r="K361" s="55"/>
      <c r="L361" s="62"/>
      <c r="S361" s="55"/>
      <c r="Y361" s="55"/>
      <c r="Z361" s="55"/>
      <c r="AA361" s="55"/>
      <c r="AJ361" s="55"/>
    </row>
    <row r="362" ht="15.75" customHeight="1">
      <c r="A362" s="55"/>
      <c r="C362" s="55"/>
      <c r="E362" s="54"/>
      <c r="F362" s="55"/>
      <c r="H362" s="55"/>
      <c r="J362" s="62"/>
      <c r="K362" s="55"/>
      <c r="L362" s="62"/>
      <c r="S362" s="55"/>
      <c r="Y362" s="55"/>
      <c r="Z362" s="55"/>
      <c r="AA362" s="55"/>
      <c r="AJ362" s="55"/>
    </row>
    <row r="363" ht="15.75" customHeight="1">
      <c r="A363" s="55"/>
      <c r="C363" s="55"/>
      <c r="E363" s="54"/>
      <c r="F363" s="55"/>
      <c r="H363" s="55"/>
      <c r="J363" s="62"/>
      <c r="K363" s="55"/>
      <c r="L363" s="62"/>
      <c r="S363" s="55"/>
      <c r="Y363" s="55"/>
      <c r="Z363" s="55"/>
      <c r="AA363" s="55"/>
      <c r="AJ363" s="55"/>
    </row>
    <row r="364" ht="15.75" customHeight="1">
      <c r="A364" s="55"/>
      <c r="C364" s="55"/>
      <c r="E364" s="54"/>
      <c r="F364" s="55"/>
      <c r="H364" s="55"/>
      <c r="J364" s="62"/>
      <c r="K364" s="55"/>
      <c r="L364" s="62"/>
      <c r="S364" s="55"/>
      <c r="Y364" s="55"/>
      <c r="Z364" s="55"/>
      <c r="AA364" s="55"/>
      <c r="AJ364" s="55"/>
    </row>
    <row r="365" ht="15.75" customHeight="1">
      <c r="A365" s="55"/>
      <c r="C365" s="55"/>
      <c r="E365" s="54"/>
      <c r="F365" s="55"/>
      <c r="H365" s="55"/>
      <c r="J365" s="62"/>
      <c r="K365" s="55"/>
      <c r="L365" s="62"/>
      <c r="S365" s="55"/>
      <c r="Y365" s="55"/>
      <c r="Z365" s="55"/>
      <c r="AA365" s="55"/>
      <c r="AJ365" s="55"/>
    </row>
    <row r="366" ht="15.75" customHeight="1">
      <c r="A366" s="55"/>
      <c r="C366" s="55"/>
      <c r="E366" s="54"/>
      <c r="F366" s="55"/>
      <c r="H366" s="55"/>
      <c r="J366" s="62"/>
      <c r="K366" s="55"/>
      <c r="L366" s="62"/>
      <c r="S366" s="55"/>
      <c r="Y366" s="55"/>
      <c r="Z366" s="55"/>
      <c r="AA366" s="55"/>
      <c r="AJ366" s="55"/>
    </row>
    <row r="367" ht="15.75" customHeight="1">
      <c r="A367" s="55"/>
      <c r="C367" s="55"/>
      <c r="E367" s="54"/>
      <c r="F367" s="55"/>
      <c r="H367" s="55"/>
      <c r="J367" s="62"/>
      <c r="K367" s="55"/>
      <c r="L367" s="62"/>
      <c r="S367" s="55"/>
      <c r="Y367" s="55"/>
      <c r="Z367" s="55"/>
      <c r="AA367" s="55"/>
      <c r="AJ367" s="55"/>
    </row>
    <row r="368" ht="15.75" customHeight="1">
      <c r="A368" s="55"/>
      <c r="C368" s="55"/>
      <c r="E368" s="54"/>
      <c r="F368" s="55"/>
      <c r="H368" s="55"/>
      <c r="J368" s="62"/>
      <c r="K368" s="55"/>
      <c r="L368" s="62"/>
      <c r="S368" s="55"/>
      <c r="Y368" s="55"/>
      <c r="Z368" s="55"/>
      <c r="AA368" s="55"/>
      <c r="AJ368" s="55"/>
    </row>
    <row r="369" ht="15.75" customHeight="1">
      <c r="A369" s="55"/>
      <c r="C369" s="55"/>
      <c r="E369" s="54"/>
      <c r="F369" s="55"/>
      <c r="H369" s="55"/>
      <c r="J369" s="62"/>
      <c r="K369" s="55"/>
      <c r="L369" s="62"/>
      <c r="S369" s="55"/>
      <c r="Y369" s="55"/>
      <c r="Z369" s="55"/>
      <c r="AA369" s="55"/>
      <c r="AJ369" s="55"/>
    </row>
    <row r="370" ht="15.75" customHeight="1">
      <c r="A370" s="55"/>
      <c r="C370" s="55"/>
      <c r="E370" s="54"/>
      <c r="F370" s="55"/>
      <c r="H370" s="55"/>
      <c r="J370" s="62"/>
      <c r="K370" s="55"/>
      <c r="L370" s="62"/>
      <c r="S370" s="55"/>
      <c r="Y370" s="55"/>
      <c r="Z370" s="55"/>
      <c r="AA370" s="55"/>
      <c r="AJ370" s="55"/>
    </row>
    <row r="371" ht="15.75" customHeight="1">
      <c r="A371" s="55"/>
      <c r="C371" s="55"/>
      <c r="E371" s="54"/>
      <c r="F371" s="55"/>
      <c r="H371" s="55"/>
      <c r="J371" s="62"/>
      <c r="K371" s="55"/>
      <c r="L371" s="62"/>
      <c r="S371" s="55"/>
      <c r="Y371" s="55"/>
      <c r="Z371" s="55"/>
      <c r="AA371" s="55"/>
      <c r="AJ371" s="55"/>
    </row>
    <row r="372" ht="15.75" customHeight="1">
      <c r="A372" s="55"/>
      <c r="C372" s="55"/>
      <c r="E372" s="54"/>
      <c r="F372" s="55"/>
      <c r="H372" s="55"/>
      <c r="J372" s="62"/>
      <c r="K372" s="55"/>
      <c r="L372" s="62"/>
      <c r="S372" s="55"/>
      <c r="Y372" s="55"/>
      <c r="Z372" s="55"/>
      <c r="AA372" s="55"/>
      <c r="AJ372" s="55"/>
    </row>
    <row r="373" ht="15.75" customHeight="1">
      <c r="A373" s="55"/>
      <c r="C373" s="55"/>
      <c r="E373" s="54"/>
      <c r="F373" s="55"/>
      <c r="H373" s="55"/>
      <c r="J373" s="62"/>
      <c r="K373" s="55"/>
      <c r="L373" s="62"/>
      <c r="S373" s="55"/>
      <c r="Y373" s="55"/>
      <c r="Z373" s="55"/>
      <c r="AA373" s="55"/>
      <c r="AJ373" s="55"/>
    </row>
    <row r="374" ht="15.75" customHeight="1">
      <c r="A374" s="55"/>
      <c r="C374" s="55"/>
      <c r="E374" s="54"/>
      <c r="F374" s="55"/>
      <c r="H374" s="55"/>
      <c r="J374" s="62"/>
      <c r="K374" s="55"/>
      <c r="L374" s="62"/>
      <c r="S374" s="55"/>
      <c r="Y374" s="55"/>
      <c r="Z374" s="55"/>
      <c r="AA374" s="55"/>
      <c r="AJ374" s="55"/>
    </row>
    <row r="375" ht="15.75" customHeight="1">
      <c r="A375" s="55"/>
      <c r="C375" s="55"/>
      <c r="E375" s="54"/>
      <c r="F375" s="55"/>
      <c r="H375" s="55"/>
      <c r="J375" s="62"/>
      <c r="K375" s="55"/>
      <c r="L375" s="62"/>
      <c r="S375" s="55"/>
      <c r="Y375" s="55"/>
      <c r="Z375" s="55"/>
      <c r="AA375" s="55"/>
      <c r="AJ375" s="55"/>
    </row>
    <row r="376" ht="15.75" customHeight="1">
      <c r="A376" s="55"/>
      <c r="C376" s="55"/>
      <c r="E376" s="54"/>
      <c r="F376" s="55"/>
      <c r="H376" s="55"/>
      <c r="J376" s="62"/>
      <c r="K376" s="55"/>
      <c r="L376" s="62"/>
      <c r="S376" s="55"/>
      <c r="Y376" s="55"/>
      <c r="Z376" s="55"/>
      <c r="AA376" s="55"/>
      <c r="AJ376" s="55"/>
    </row>
    <row r="377" ht="15.75" customHeight="1">
      <c r="A377" s="55"/>
      <c r="C377" s="55"/>
      <c r="E377" s="54"/>
      <c r="F377" s="55"/>
      <c r="H377" s="55"/>
      <c r="J377" s="62"/>
      <c r="K377" s="55"/>
      <c r="L377" s="62"/>
      <c r="S377" s="55"/>
      <c r="Y377" s="55"/>
      <c r="Z377" s="55"/>
      <c r="AA377" s="55"/>
      <c r="AJ377" s="55"/>
    </row>
    <row r="378" ht="15.75" customHeight="1">
      <c r="A378" s="55"/>
      <c r="C378" s="55"/>
      <c r="E378" s="54"/>
      <c r="F378" s="55"/>
      <c r="H378" s="55"/>
      <c r="J378" s="62"/>
      <c r="K378" s="55"/>
      <c r="L378" s="62"/>
      <c r="S378" s="55"/>
      <c r="Y378" s="55"/>
      <c r="Z378" s="55"/>
      <c r="AA378" s="55"/>
      <c r="AJ378" s="55"/>
    </row>
    <row r="379" ht="15.75" customHeight="1">
      <c r="A379" s="55"/>
      <c r="C379" s="55"/>
      <c r="E379" s="54"/>
      <c r="F379" s="55"/>
      <c r="H379" s="55"/>
      <c r="J379" s="62"/>
      <c r="K379" s="55"/>
      <c r="L379" s="62"/>
      <c r="S379" s="55"/>
      <c r="Y379" s="55"/>
      <c r="Z379" s="55"/>
      <c r="AA379" s="55"/>
      <c r="AJ379" s="55"/>
    </row>
    <row r="380" ht="15.75" customHeight="1">
      <c r="A380" s="55"/>
      <c r="C380" s="55"/>
      <c r="E380" s="54"/>
      <c r="F380" s="55"/>
      <c r="H380" s="55"/>
      <c r="J380" s="62"/>
      <c r="K380" s="55"/>
      <c r="L380" s="62"/>
      <c r="S380" s="55"/>
      <c r="Y380" s="55"/>
      <c r="Z380" s="55"/>
      <c r="AA380" s="55"/>
      <c r="AJ380" s="55"/>
    </row>
    <row r="381" ht="15.75" customHeight="1">
      <c r="A381" s="55"/>
      <c r="C381" s="55"/>
      <c r="E381" s="54"/>
      <c r="F381" s="55"/>
      <c r="H381" s="55"/>
      <c r="J381" s="62"/>
      <c r="K381" s="55"/>
      <c r="L381" s="62"/>
      <c r="S381" s="55"/>
      <c r="Y381" s="55"/>
      <c r="Z381" s="55"/>
      <c r="AA381" s="55"/>
      <c r="AJ381" s="55"/>
    </row>
    <row r="382" ht="15.75" customHeight="1">
      <c r="A382" s="55"/>
      <c r="C382" s="55"/>
      <c r="E382" s="54"/>
      <c r="F382" s="55"/>
      <c r="H382" s="55"/>
      <c r="J382" s="62"/>
      <c r="K382" s="55"/>
      <c r="L382" s="62"/>
      <c r="S382" s="55"/>
      <c r="Y382" s="55"/>
      <c r="Z382" s="55"/>
      <c r="AA382" s="55"/>
      <c r="AJ382" s="55"/>
    </row>
    <row r="383" ht="15.75" customHeight="1">
      <c r="A383" s="55"/>
      <c r="C383" s="55"/>
      <c r="E383" s="54"/>
      <c r="F383" s="55"/>
      <c r="H383" s="55"/>
      <c r="J383" s="62"/>
      <c r="K383" s="55"/>
      <c r="L383" s="62"/>
      <c r="S383" s="55"/>
      <c r="Y383" s="55"/>
      <c r="Z383" s="55"/>
      <c r="AA383" s="55"/>
      <c r="AJ383" s="55"/>
    </row>
    <row r="384" ht="15.75" customHeight="1">
      <c r="A384" s="55"/>
      <c r="C384" s="55"/>
      <c r="E384" s="54"/>
      <c r="F384" s="55"/>
      <c r="H384" s="55"/>
      <c r="J384" s="62"/>
      <c r="K384" s="55"/>
      <c r="L384" s="62"/>
      <c r="S384" s="55"/>
      <c r="Y384" s="55"/>
      <c r="Z384" s="55"/>
      <c r="AA384" s="55"/>
      <c r="AJ384" s="55"/>
    </row>
    <row r="385" ht="15.75" customHeight="1">
      <c r="A385" s="55"/>
      <c r="C385" s="55"/>
      <c r="E385" s="54"/>
      <c r="F385" s="55"/>
      <c r="H385" s="55"/>
      <c r="J385" s="62"/>
      <c r="K385" s="55"/>
      <c r="L385" s="62"/>
      <c r="S385" s="55"/>
      <c r="Y385" s="55"/>
      <c r="Z385" s="55"/>
      <c r="AA385" s="55"/>
      <c r="AJ385" s="55"/>
    </row>
    <row r="386" ht="15.75" customHeight="1">
      <c r="A386" s="55"/>
      <c r="C386" s="55"/>
      <c r="E386" s="54"/>
      <c r="F386" s="55"/>
      <c r="H386" s="55"/>
      <c r="J386" s="62"/>
      <c r="K386" s="55"/>
      <c r="L386" s="62"/>
      <c r="S386" s="55"/>
      <c r="Y386" s="55"/>
      <c r="Z386" s="55"/>
      <c r="AA386" s="55"/>
      <c r="AJ386" s="55"/>
    </row>
    <row r="387" ht="15.75" customHeight="1">
      <c r="A387" s="55"/>
      <c r="C387" s="55"/>
      <c r="E387" s="54"/>
      <c r="F387" s="55"/>
      <c r="H387" s="55"/>
      <c r="J387" s="62"/>
      <c r="K387" s="55"/>
      <c r="L387" s="62"/>
      <c r="S387" s="55"/>
      <c r="Y387" s="55"/>
      <c r="Z387" s="55"/>
      <c r="AA387" s="55"/>
      <c r="AJ387" s="55"/>
    </row>
    <row r="388" ht="15.75" customHeight="1">
      <c r="A388" s="55"/>
      <c r="C388" s="55"/>
      <c r="E388" s="54"/>
      <c r="F388" s="55"/>
      <c r="H388" s="55"/>
      <c r="J388" s="62"/>
      <c r="K388" s="55"/>
      <c r="L388" s="62"/>
      <c r="S388" s="55"/>
      <c r="Y388" s="55"/>
      <c r="Z388" s="55"/>
      <c r="AA388" s="55"/>
      <c r="AJ388" s="55"/>
    </row>
    <row r="389" ht="15.75" customHeight="1">
      <c r="A389" s="55"/>
      <c r="C389" s="55"/>
      <c r="E389" s="54"/>
      <c r="F389" s="55"/>
      <c r="H389" s="55"/>
      <c r="J389" s="62"/>
      <c r="K389" s="55"/>
      <c r="L389" s="62"/>
      <c r="S389" s="55"/>
      <c r="Y389" s="55"/>
      <c r="Z389" s="55"/>
      <c r="AA389" s="55"/>
      <c r="AJ389" s="55"/>
    </row>
    <row r="390" ht="15.75" customHeight="1">
      <c r="A390" s="55"/>
      <c r="C390" s="55"/>
      <c r="E390" s="54"/>
      <c r="F390" s="55"/>
      <c r="H390" s="55"/>
      <c r="J390" s="62"/>
      <c r="K390" s="55"/>
      <c r="L390" s="62"/>
      <c r="S390" s="55"/>
      <c r="Y390" s="55"/>
      <c r="Z390" s="55"/>
      <c r="AA390" s="55"/>
      <c r="AJ390" s="55"/>
    </row>
    <row r="391" ht="15.75" customHeight="1">
      <c r="A391" s="55"/>
      <c r="C391" s="55"/>
      <c r="E391" s="54"/>
      <c r="F391" s="55"/>
      <c r="H391" s="55"/>
      <c r="J391" s="62"/>
      <c r="K391" s="55"/>
      <c r="L391" s="62"/>
      <c r="S391" s="55"/>
      <c r="Y391" s="55"/>
      <c r="Z391" s="55"/>
      <c r="AA391" s="55"/>
      <c r="AJ391" s="55"/>
    </row>
    <row r="392" ht="15.75" customHeight="1">
      <c r="A392" s="55"/>
      <c r="C392" s="55"/>
      <c r="E392" s="54"/>
      <c r="F392" s="55"/>
      <c r="H392" s="55"/>
      <c r="J392" s="62"/>
      <c r="K392" s="55"/>
      <c r="L392" s="62"/>
      <c r="S392" s="55"/>
      <c r="Y392" s="55"/>
      <c r="Z392" s="55"/>
      <c r="AA392" s="55"/>
      <c r="AJ392" s="55"/>
    </row>
    <row r="393" ht="15.75" customHeight="1">
      <c r="A393" s="55"/>
      <c r="C393" s="55"/>
      <c r="E393" s="54"/>
      <c r="F393" s="55"/>
      <c r="H393" s="55"/>
      <c r="J393" s="62"/>
      <c r="K393" s="55"/>
      <c r="L393" s="62"/>
      <c r="S393" s="55"/>
      <c r="Y393" s="55"/>
      <c r="Z393" s="55"/>
      <c r="AA393" s="55"/>
      <c r="AJ393" s="55"/>
    </row>
    <row r="394" ht="15.75" customHeight="1">
      <c r="A394" s="55"/>
      <c r="C394" s="55"/>
      <c r="E394" s="54"/>
      <c r="F394" s="55"/>
      <c r="H394" s="55"/>
      <c r="J394" s="62"/>
      <c r="K394" s="55"/>
      <c r="L394" s="62"/>
      <c r="S394" s="55"/>
      <c r="Y394" s="55"/>
      <c r="Z394" s="55"/>
      <c r="AA394" s="55"/>
      <c r="AJ394" s="55"/>
    </row>
    <row r="395" ht="15.75" customHeight="1">
      <c r="A395" s="55"/>
      <c r="C395" s="55"/>
      <c r="E395" s="54"/>
      <c r="F395" s="55"/>
      <c r="H395" s="55"/>
      <c r="J395" s="62"/>
      <c r="K395" s="55"/>
      <c r="L395" s="62"/>
      <c r="S395" s="55"/>
      <c r="Y395" s="55"/>
      <c r="Z395" s="55"/>
      <c r="AA395" s="55"/>
      <c r="AJ395" s="55"/>
    </row>
    <row r="396" ht="15.75" customHeight="1">
      <c r="A396" s="55"/>
      <c r="C396" s="55"/>
      <c r="E396" s="54"/>
      <c r="F396" s="55"/>
      <c r="H396" s="55"/>
      <c r="J396" s="62"/>
      <c r="K396" s="55"/>
      <c r="L396" s="62"/>
      <c r="S396" s="55"/>
      <c r="Y396" s="55"/>
      <c r="Z396" s="55"/>
      <c r="AA396" s="55"/>
      <c r="AJ396" s="55"/>
    </row>
    <row r="397" ht="15.75" customHeight="1">
      <c r="A397" s="55"/>
      <c r="C397" s="55"/>
      <c r="E397" s="54"/>
      <c r="F397" s="55"/>
      <c r="H397" s="55"/>
      <c r="J397" s="62"/>
      <c r="K397" s="55"/>
      <c r="L397" s="62"/>
      <c r="S397" s="55"/>
      <c r="Y397" s="55"/>
      <c r="Z397" s="55"/>
      <c r="AA397" s="55"/>
      <c r="AJ397" s="55"/>
    </row>
    <row r="398" ht="15.75" customHeight="1">
      <c r="A398" s="55"/>
      <c r="C398" s="55"/>
      <c r="E398" s="54"/>
      <c r="F398" s="55"/>
      <c r="H398" s="55"/>
      <c r="J398" s="62"/>
      <c r="K398" s="55"/>
      <c r="L398" s="62"/>
      <c r="S398" s="55"/>
      <c r="Y398" s="55"/>
      <c r="Z398" s="55"/>
      <c r="AA398" s="55"/>
      <c r="AJ398" s="55"/>
    </row>
    <row r="399" ht="15.75" customHeight="1">
      <c r="A399" s="55"/>
      <c r="C399" s="55"/>
      <c r="E399" s="54"/>
      <c r="F399" s="55"/>
      <c r="H399" s="55"/>
      <c r="J399" s="62"/>
      <c r="K399" s="55"/>
      <c r="L399" s="62"/>
      <c r="S399" s="55"/>
      <c r="Y399" s="55"/>
      <c r="Z399" s="55"/>
      <c r="AA399" s="55"/>
      <c r="AJ399" s="55"/>
    </row>
    <row r="400" ht="15.75" customHeight="1">
      <c r="A400" s="55"/>
      <c r="C400" s="55"/>
      <c r="E400" s="54"/>
      <c r="F400" s="55"/>
      <c r="H400" s="55"/>
      <c r="J400" s="62"/>
      <c r="K400" s="55"/>
      <c r="L400" s="62"/>
      <c r="S400" s="55"/>
      <c r="Y400" s="55"/>
      <c r="Z400" s="55"/>
      <c r="AA400" s="55"/>
      <c r="AJ400" s="55"/>
    </row>
    <row r="401" ht="15.75" customHeight="1">
      <c r="A401" s="55"/>
      <c r="C401" s="55"/>
      <c r="E401" s="54"/>
      <c r="F401" s="55"/>
      <c r="H401" s="55"/>
      <c r="J401" s="62"/>
      <c r="K401" s="55"/>
      <c r="L401" s="62"/>
      <c r="S401" s="55"/>
      <c r="Y401" s="55"/>
      <c r="Z401" s="55"/>
      <c r="AA401" s="55"/>
      <c r="AJ401" s="55"/>
    </row>
    <row r="402" ht="15.75" customHeight="1">
      <c r="A402" s="55"/>
      <c r="C402" s="55"/>
      <c r="E402" s="54"/>
      <c r="F402" s="55"/>
      <c r="H402" s="55"/>
      <c r="J402" s="62"/>
      <c r="K402" s="55"/>
      <c r="L402" s="62"/>
      <c r="S402" s="55"/>
      <c r="Y402" s="55"/>
      <c r="Z402" s="55"/>
      <c r="AA402" s="55"/>
      <c r="AJ402" s="55"/>
    </row>
    <row r="403" ht="15.75" customHeight="1">
      <c r="A403" s="55"/>
      <c r="C403" s="55"/>
      <c r="E403" s="54"/>
      <c r="F403" s="55"/>
      <c r="H403" s="55"/>
      <c r="J403" s="62"/>
      <c r="K403" s="55"/>
      <c r="L403" s="62"/>
      <c r="S403" s="55"/>
      <c r="Y403" s="55"/>
      <c r="Z403" s="55"/>
      <c r="AA403" s="55"/>
      <c r="AJ403" s="55"/>
    </row>
    <row r="404" ht="15.75" customHeight="1">
      <c r="A404" s="55"/>
      <c r="C404" s="55"/>
      <c r="E404" s="54"/>
      <c r="F404" s="55"/>
      <c r="H404" s="55"/>
      <c r="J404" s="62"/>
      <c r="K404" s="55"/>
      <c r="L404" s="62"/>
      <c r="S404" s="55"/>
      <c r="Y404" s="55"/>
      <c r="Z404" s="55"/>
      <c r="AA404" s="55"/>
      <c r="AJ404" s="55"/>
    </row>
    <row r="405" ht="15.75" customHeight="1">
      <c r="A405" s="55"/>
      <c r="C405" s="55"/>
      <c r="E405" s="54"/>
      <c r="F405" s="55"/>
      <c r="H405" s="55"/>
      <c r="J405" s="62"/>
      <c r="K405" s="55"/>
      <c r="L405" s="62"/>
      <c r="S405" s="55"/>
      <c r="Y405" s="55"/>
      <c r="Z405" s="55"/>
      <c r="AA405" s="55"/>
      <c r="AJ405" s="55"/>
    </row>
    <row r="406" ht="15.75" customHeight="1">
      <c r="A406" s="55"/>
      <c r="C406" s="55"/>
      <c r="E406" s="54"/>
      <c r="F406" s="55"/>
      <c r="H406" s="55"/>
      <c r="J406" s="62"/>
      <c r="K406" s="55"/>
      <c r="L406" s="62"/>
      <c r="S406" s="55"/>
      <c r="Y406" s="55"/>
      <c r="Z406" s="55"/>
      <c r="AA406" s="55"/>
      <c r="AJ406" s="55"/>
    </row>
    <row r="407" ht="15.75" customHeight="1">
      <c r="A407" s="55"/>
      <c r="C407" s="55"/>
      <c r="E407" s="54"/>
      <c r="F407" s="55"/>
      <c r="H407" s="55"/>
      <c r="J407" s="62"/>
      <c r="K407" s="55"/>
      <c r="L407" s="62"/>
      <c r="S407" s="55"/>
      <c r="Y407" s="55"/>
      <c r="Z407" s="55"/>
      <c r="AA407" s="55"/>
      <c r="AJ407" s="55"/>
    </row>
    <row r="408" ht="15.75" customHeight="1">
      <c r="A408" s="55"/>
      <c r="C408" s="55"/>
      <c r="E408" s="54"/>
      <c r="F408" s="55"/>
      <c r="H408" s="55"/>
      <c r="J408" s="62"/>
      <c r="K408" s="55"/>
      <c r="L408" s="62"/>
      <c r="S408" s="55"/>
      <c r="Y408" s="55"/>
      <c r="Z408" s="55"/>
      <c r="AA408" s="55"/>
      <c r="AJ408" s="55"/>
    </row>
    <row r="409" ht="15.75" customHeight="1">
      <c r="A409" s="55"/>
      <c r="C409" s="55"/>
      <c r="E409" s="54"/>
      <c r="F409" s="55"/>
      <c r="H409" s="55"/>
      <c r="J409" s="62"/>
      <c r="K409" s="55"/>
      <c r="L409" s="62"/>
      <c r="S409" s="55"/>
      <c r="Y409" s="55"/>
      <c r="Z409" s="55"/>
      <c r="AA409" s="55"/>
      <c r="AJ409" s="55"/>
    </row>
    <row r="410" ht="15.75" customHeight="1">
      <c r="A410" s="55"/>
      <c r="C410" s="55"/>
      <c r="E410" s="54"/>
      <c r="F410" s="55"/>
      <c r="H410" s="55"/>
      <c r="J410" s="62"/>
      <c r="K410" s="55"/>
      <c r="L410" s="62"/>
      <c r="S410" s="55"/>
      <c r="Y410" s="55"/>
      <c r="Z410" s="55"/>
      <c r="AA410" s="55"/>
      <c r="AJ410" s="55"/>
    </row>
    <row r="411" ht="15.75" customHeight="1">
      <c r="A411" s="55"/>
      <c r="C411" s="55"/>
      <c r="E411" s="54"/>
      <c r="F411" s="55"/>
      <c r="H411" s="55"/>
      <c r="J411" s="62"/>
      <c r="K411" s="55"/>
      <c r="L411" s="62"/>
      <c r="S411" s="55"/>
      <c r="Y411" s="55"/>
      <c r="Z411" s="55"/>
      <c r="AA411" s="55"/>
      <c r="AJ411" s="55"/>
    </row>
    <row r="412" ht="15.75" customHeight="1">
      <c r="A412" s="55"/>
      <c r="C412" s="55"/>
      <c r="E412" s="54"/>
      <c r="F412" s="55"/>
      <c r="H412" s="55"/>
      <c r="J412" s="62"/>
      <c r="K412" s="55"/>
      <c r="L412" s="62"/>
      <c r="S412" s="55"/>
      <c r="Y412" s="55"/>
      <c r="Z412" s="55"/>
      <c r="AA412" s="55"/>
      <c r="AJ412" s="55"/>
    </row>
    <row r="413" ht="15.75" customHeight="1">
      <c r="A413" s="55"/>
      <c r="C413" s="55"/>
      <c r="E413" s="54"/>
      <c r="F413" s="55"/>
      <c r="H413" s="55"/>
      <c r="J413" s="62"/>
      <c r="K413" s="55"/>
      <c r="L413" s="62"/>
      <c r="S413" s="55"/>
      <c r="Y413" s="55"/>
      <c r="Z413" s="55"/>
      <c r="AA413" s="55"/>
      <c r="AJ413" s="55"/>
    </row>
    <row r="414" ht="15.75" customHeight="1">
      <c r="A414" s="55"/>
      <c r="C414" s="55"/>
      <c r="E414" s="54"/>
      <c r="F414" s="55"/>
      <c r="H414" s="55"/>
      <c r="J414" s="62"/>
      <c r="K414" s="55"/>
      <c r="L414" s="62"/>
      <c r="S414" s="55"/>
      <c r="Y414" s="55"/>
      <c r="Z414" s="55"/>
      <c r="AA414" s="55"/>
      <c r="AJ414" s="55"/>
    </row>
    <row r="415" ht="15.75" customHeight="1">
      <c r="A415" s="55"/>
      <c r="C415" s="55"/>
      <c r="E415" s="54"/>
      <c r="F415" s="55"/>
      <c r="H415" s="55"/>
      <c r="J415" s="62"/>
      <c r="K415" s="55"/>
      <c r="L415" s="62"/>
      <c r="S415" s="55"/>
      <c r="Y415" s="55"/>
      <c r="Z415" s="55"/>
      <c r="AA415" s="55"/>
      <c r="AJ415" s="55"/>
    </row>
    <row r="416" ht="15.75" customHeight="1">
      <c r="A416" s="55"/>
      <c r="C416" s="55"/>
      <c r="E416" s="54"/>
      <c r="F416" s="55"/>
      <c r="H416" s="55"/>
      <c r="J416" s="62"/>
      <c r="K416" s="55"/>
      <c r="L416" s="62"/>
      <c r="S416" s="55"/>
      <c r="Y416" s="55"/>
      <c r="Z416" s="55"/>
      <c r="AA416" s="55"/>
      <c r="AJ416" s="55"/>
    </row>
    <row r="417" ht="15.75" customHeight="1">
      <c r="A417" s="55"/>
      <c r="C417" s="55"/>
      <c r="E417" s="54"/>
      <c r="F417" s="55"/>
      <c r="H417" s="55"/>
      <c r="J417" s="62"/>
      <c r="K417" s="55"/>
      <c r="L417" s="62"/>
      <c r="S417" s="55"/>
      <c r="Y417" s="55"/>
      <c r="Z417" s="55"/>
      <c r="AA417" s="55"/>
      <c r="AJ417" s="55"/>
    </row>
    <row r="418" ht="15.75" customHeight="1">
      <c r="A418" s="55"/>
      <c r="C418" s="55"/>
      <c r="E418" s="54"/>
      <c r="F418" s="55"/>
      <c r="H418" s="55"/>
      <c r="J418" s="62"/>
      <c r="K418" s="55"/>
      <c r="L418" s="62"/>
      <c r="S418" s="55"/>
      <c r="Y418" s="55"/>
      <c r="Z418" s="55"/>
      <c r="AA418" s="55"/>
      <c r="AJ418" s="55"/>
    </row>
    <row r="419" ht="15.75" customHeight="1">
      <c r="A419" s="55"/>
      <c r="C419" s="55"/>
      <c r="E419" s="54"/>
      <c r="F419" s="55"/>
      <c r="H419" s="55"/>
      <c r="J419" s="62"/>
      <c r="K419" s="55"/>
      <c r="L419" s="62"/>
      <c r="S419" s="55"/>
      <c r="Y419" s="55"/>
      <c r="Z419" s="55"/>
      <c r="AA419" s="55"/>
      <c r="AJ419" s="55"/>
    </row>
    <row r="420" ht="15.75" customHeight="1">
      <c r="A420" s="55"/>
      <c r="C420" s="55"/>
      <c r="E420" s="54"/>
      <c r="F420" s="55"/>
      <c r="H420" s="55"/>
      <c r="J420" s="62"/>
      <c r="K420" s="55"/>
      <c r="L420" s="62"/>
      <c r="S420" s="55"/>
      <c r="Y420" s="55"/>
      <c r="Z420" s="55"/>
      <c r="AA420" s="55"/>
      <c r="AJ420" s="55"/>
    </row>
    <row r="421" ht="15.75" customHeight="1">
      <c r="A421" s="55"/>
      <c r="C421" s="55"/>
      <c r="E421" s="54"/>
      <c r="F421" s="55"/>
      <c r="H421" s="55"/>
      <c r="J421" s="62"/>
      <c r="K421" s="55"/>
      <c r="L421" s="62"/>
      <c r="S421" s="55"/>
      <c r="Y421" s="55"/>
      <c r="Z421" s="55"/>
      <c r="AA421" s="55"/>
      <c r="AJ421" s="55"/>
    </row>
    <row r="422" ht="15.75" customHeight="1">
      <c r="A422" s="55"/>
      <c r="C422" s="55"/>
      <c r="E422" s="54"/>
      <c r="F422" s="55"/>
      <c r="H422" s="55"/>
      <c r="J422" s="62"/>
      <c r="K422" s="55"/>
      <c r="L422" s="62"/>
      <c r="S422" s="55"/>
      <c r="Y422" s="55"/>
      <c r="Z422" s="55"/>
      <c r="AA422" s="55"/>
      <c r="AJ422" s="55"/>
    </row>
    <row r="423" ht="15.75" customHeight="1">
      <c r="A423" s="55"/>
      <c r="C423" s="55"/>
      <c r="E423" s="54"/>
      <c r="F423" s="55"/>
      <c r="H423" s="55"/>
      <c r="J423" s="62"/>
      <c r="K423" s="55"/>
      <c r="L423" s="62"/>
      <c r="S423" s="55"/>
      <c r="Y423" s="55"/>
      <c r="Z423" s="55"/>
      <c r="AA423" s="55"/>
      <c r="AJ423" s="55"/>
    </row>
    <row r="424" ht="15.75" customHeight="1">
      <c r="A424" s="55"/>
      <c r="C424" s="55"/>
      <c r="E424" s="54"/>
      <c r="F424" s="55"/>
      <c r="H424" s="55"/>
      <c r="J424" s="62"/>
      <c r="K424" s="55"/>
      <c r="L424" s="62"/>
      <c r="S424" s="55"/>
      <c r="Y424" s="55"/>
      <c r="Z424" s="55"/>
      <c r="AA424" s="55"/>
      <c r="AJ424" s="55"/>
    </row>
    <row r="425" ht="15.75" customHeight="1">
      <c r="A425" s="55"/>
      <c r="C425" s="55"/>
      <c r="E425" s="54"/>
      <c r="F425" s="55"/>
      <c r="H425" s="55"/>
      <c r="J425" s="62"/>
      <c r="K425" s="55"/>
      <c r="L425" s="62"/>
      <c r="S425" s="55"/>
      <c r="Y425" s="55"/>
      <c r="Z425" s="55"/>
      <c r="AA425" s="55"/>
      <c r="AJ425" s="55"/>
    </row>
    <row r="426" ht="15.75" customHeight="1">
      <c r="A426" s="55"/>
      <c r="C426" s="55"/>
      <c r="E426" s="54"/>
      <c r="F426" s="55"/>
      <c r="H426" s="55"/>
      <c r="J426" s="62"/>
      <c r="K426" s="55"/>
      <c r="L426" s="62"/>
      <c r="S426" s="55"/>
      <c r="Y426" s="55"/>
      <c r="Z426" s="55"/>
      <c r="AA426" s="55"/>
      <c r="AJ426" s="55"/>
    </row>
    <row r="427" ht="15.75" customHeight="1">
      <c r="A427" s="55"/>
      <c r="C427" s="55"/>
      <c r="E427" s="54"/>
      <c r="F427" s="55"/>
      <c r="H427" s="55"/>
      <c r="J427" s="62"/>
      <c r="K427" s="55"/>
      <c r="L427" s="62"/>
      <c r="S427" s="55"/>
      <c r="Y427" s="55"/>
      <c r="Z427" s="55"/>
      <c r="AA427" s="55"/>
      <c r="AJ427" s="55"/>
    </row>
    <row r="428" ht="15.75" customHeight="1">
      <c r="A428" s="55"/>
      <c r="C428" s="55"/>
      <c r="E428" s="54"/>
      <c r="F428" s="55"/>
      <c r="H428" s="55"/>
      <c r="J428" s="62"/>
      <c r="K428" s="55"/>
      <c r="L428" s="62"/>
      <c r="S428" s="55"/>
      <c r="Y428" s="55"/>
      <c r="Z428" s="55"/>
      <c r="AA428" s="55"/>
      <c r="AJ428" s="55"/>
    </row>
    <row r="429" ht="15.75" customHeight="1">
      <c r="A429" s="55"/>
      <c r="C429" s="55"/>
      <c r="E429" s="54"/>
      <c r="F429" s="55"/>
      <c r="H429" s="55"/>
      <c r="J429" s="62"/>
      <c r="K429" s="55"/>
      <c r="L429" s="62"/>
      <c r="S429" s="55"/>
      <c r="Y429" s="55"/>
      <c r="Z429" s="55"/>
      <c r="AA429" s="55"/>
      <c r="AJ429" s="55"/>
    </row>
    <row r="430" ht="15.75" customHeight="1">
      <c r="A430" s="55"/>
      <c r="C430" s="55"/>
      <c r="E430" s="54"/>
      <c r="F430" s="55"/>
      <c r="H430" s="55"/>
      <c r="J430" s="62"/>
      <c r="K430" s="55"/>
      <c r="L430" s="62"/>
      <c r="S430" s="55"/>
      <c r="Y430" s="55"/>
      <c r="Z430" s="55"/>
      <c r="AA430" s="55"/>
      <c r="AJ430" s="55"/>
    </row>
    <row r="431" ht="15.75" customHeight="1">
      <c r="A431" s="55"/>
      <c r="C431" s="55"/>
      <c r="E431" s="54"/>
      <c r="F431" s="55"/>
      <c r="H431" s="55"/>
      <c r="J431" s="62"/>
      <c r="K431" s="55"/>
      <c r="L431" s="62"/>
      <c r="S431" s="55"/>
      <c r="Y431" s="55"/>
      <c r="Z431" s="55"/>
      <c r="AA431" s="55"/>
      <c r="AJ431" s="55"/>
    </row>
    <row r="432" ht="15.75" customHeight="1">
      <c r="A432" s="55"/>
      <c r="C432" s="55"/>
      <c r="E432" s="54"/>
      <c r="F432" s="55"/>
      <c r="H432" s="55"/>
      <c r="J432" s="62"/>
      <c r="K432" s="55"/>
      <c r="L432" s="62"/>
      <c r="S432" s="55"/>
      <c r="Y432" s="55"/>
      <c r="Z432" s="55"/>
      <c r="AA432" s="55"/>
      <c r="AJ432" s="55"/>
    </row>
    <row r="433" ht="15.75" customHeight="1">
      <c r="A433" s="55"/>
      <c r="C433" s="55"/>
      <c r="E433" s="54"/>
      <c r="F433" s="55"/>
      <c r="H433" s="55"/>
      <c r="J433" s="62"/>
      <c r="K433" s="55"/>
      <c r="L433" s="62"/>
      <c r="S433" s="55"/>
      <c r="Y433" s="55"/>
      <c r="Z433" s="55"/>
      <c r="AA433" s="55"/>
      <c r="AJ433" s="55"/>
    </row>
    <row r="434" ht="15.75" customHeight="1">
      <c r="A434" s="55"/>
      <c r="C434" s="55"/>
      <c r="E434" s="54"/>
      <c r="F434" s="55"/>
      <c r="H434" s="55"/>
      <c r="J434" s="62"/>
      <c r="K434" s="55"/>
      <c r="L434" s="62"/>
      <c r="S434" s="55"/>
      <c r="Y434" s="55"/>
      <c r="Z434" s="55"/>
      <c r="AA434" s="55"/>
      <c r="AJ434" s="55"/>
    </row>
    <row r="435" ht="15.75" customHeight="1">
      <c r="A435" s="55"/>
      <c r="C435" s="55"/>
      <c r="E435" s="54"/>
      <c r="F435" s="55"/>
      <c r="H435" s="55"/>
      <c r="J435" s="62"/>
      <c r="K435" s="55"/>
      <c r="L435" s="62"/>
      <c r="S435" s="55"/>
      <c r="Y435" s="55"/>
      <c r="Z435" s="55"/>
      <c r="AA435" s="55"/>
      <c r="AJ435" s="55"/>
    </row>
    <row r="436" ht="15.75" customHeight="1">
      <c r="A436" s="55"/>
      <c r="C436" s="55"/>
      <c r="E436" s="54"/>
      <c r="F436" s="55"/>
      <c r="H436" s="55"/>
      <c r="J436" s="62"/>
      <c r="K436" s="55"/>
      <c r="L436" s="62"/>
      <c r="S436" s="55"/>
      <c r="Y436" s="55"/>
      <c r="Z436" s="55"/>
      <c r="AA436" s="55"/>
      <c r="AJ436" s="55"/>
    </row>
    <row r="437" ht="15.75" customHeight="1">
      <c r="A437" s="55"/>
      <c r="C437" s="55"/>
      <c r="E437" s="54"/>
      <c r="F437" s="55"/>
      <c r="H437" s="55"/>
      <c r="J437" s="62"/>
      <c r="K437" s="55"/>
      <c r="L437" s="62"/>
      <c r="S437" s="55"/>
      <c r="Y437" s="55"/>
      <c r="Z437" s="55"/>
      <c r="AA437" s="55"/>
      <c r="AJ437" s="55"/>
    </row>
    <row r="438" ht="15.75" customHeight="1">
      <c r="A438" s="55"/>
      <c r="C438" s="55"/>
      <c r="E438" s="54"/>
      <c r="F438" s="55"/>
      <c r="H438" s="55"/>
      <c r="J438" s="62"/>
      <c r="K438" s="55"/>
      <c r="L438" s="62"/>
      <c r="S438" s="55"/>
      <c r="Y438" s="55"/>
      <c r="Z438" s="55"/>
      <c r="AA438" s="55"/>
      <c r="AJ438" s="55"/>
    </row>
    <row r="439" ht="15.75" customHeight="1">
      <c r="A439" s="55"/>
      <c r="C439" s="55"/>
      <c r="E439" s="54"/>
      <c r="F439" s="55"/>
      <c r="H439" s="55"/>
      <c r="J439" s="62"/>
      <c r="K439" s="55"/>
      <c r="L439" s="62"/>
      <c r="S439" s="55"/>
      <c r="Y439" s="55"/>
      <c r="Z439" s="55"/>
      <c r="AA439" s="55"/>
      <c r="AJ439" s="55"/>
    </row>
    <row r="440" ht="15.75" customHeight="1">
      <c r="A440" s="55"/>
      <c r="C440" s="55"/>
      <c r="E440" s="54"/>
      <c r="F440" s="55"/>
      <c r="H440" s="55"/>
      <c r="J440" s="62"/>
      <c r="K440" s="55"/>
      <c r="L440" s="62"/>
      <c r="S440" s="55"/>
      <c r="Y440" s="55"/>
      <c r="Z440" s="55"/>
      <c r="AA440" s="55"/>
      <c r="AJ440" s="55"/>
    </row>
    <row r="441" ht="15.75" customHeight="1">
      <c r="A441" s="55"/>
      <c r="C441" s="55"/>
      <c r="E441" s="54"/>
      <c r="F441" s="55"/>
      <c r="H441" s="55"/>
      <c r="J441" s="62"/>
      <c r="K441" s="55"/>
      <c r="L441" s="62"/>
      <c r="S441" s="55"/>
      <c r="Y441" s="55"/>
      <c r="Z441" s="55"/>
      <c r="AA441" s="55"/>
      <c r="AJ441" s="55"/>
    </row>
    <row r="442" ht="15.75" customHeight="1">
      <c r="A442" s="55"/>
      <c r="C442" s="55"/>
      <c r="E442" s="54"/>
      <c r="F442" s="55"/>
      <c r="H442" s="55"/>
      <c r="J442" s="62"/>
      <c r="K442" s="55"/>
      <c r="L442" s="62"/>
      <c r="S442" s="55"/>
      <c r="Y442" s="55"/>
      <c r="Z442" s="55"/>
      <c r="AA442" s="55"/>
      <c r="AJ442" s="55"/>
    </row>
    <row r="443" ht="15.75" customHeight="1">
      <c r="A443" s="55"/>
      <c r="C443" s="55"/>
      <c r="E443" s="54"/>
      <c r="F443" s="55"/>
      <c r="H443" s="55"/>
      <c r="J443" s="62"/>
      <c r="K443" s="55"/>
      <c r="L443" s="62"/>
      <c r="S443" s="55"/>
      <c r="Y443" s="55"/>
      <c r="Z443" s="55"/>
      <c r="AA443" s="55"/>
      <c r="AJ443" s="55"/>
    </row>
    <row r="444" ht="15.75" customHeight="1">
      <c r="A444" s="55"/>
      <c r="C444" s="55"/>
      <c r="E444" s="54"/>
      <c r="F444" s="55"/>
      <c r="H444" s="55"/>
      <c r="J444" s="62"/>
      <c r="K444" s="55"/>
      <c r="L444" s="62"/>
      <c r="S444" s="55"/>
      <c r="Y444" s="55"/>
      <c r="Z444" s="55"/>
      <c r="AA444" s="55"/>
      <c r="AJ444" s="55"/>
    </row>
    <row r="445" ht="15.75" customHeight="1">
      <c r="A445" s="55"/>
      <c r="C445" s="55"/>
      <c r="E445" s="54"/>
      <c r="F445" s="55"/>
      <c r="H445" s="55"/>
      <c r="J445" s="62"/>
      <c r="K445" s="55"/>
      <c r="L445" s="62"/>
      <c r="S445" s="55"/>
      <c r="Y445" s="55"/>
      <c r="Z445" s="55"/>
      <c r="AA445" s="55"/>
      <c r="AJ445" s="55"/>
    </row>
    <row r="446" ht="15.75" customHeight="1">
      <c r="A446" s="55"/>
      <c r="C446" s="55"/>
      <c r="E446" s="54"/>
      <c r="F446" s="55"/>
      <c r="H446" s="55"/>
      <c r="J446" s="62"/>
      <c r="K446" s="55"/>
      <c r="L446" s="62"/>
      <c r="S446" s="55"/>
      <c r="Y446" s="55"/>
      <c r="Z446" s="55"/>
      <c r="AA446" s="55"/>
      <c r="AJ446" s="55"/>
    </row>
    <row r="447" ht="15.75" customHeight="1">
      <c r="A447" s="55"/>
      <c r="C447" s="55"/>
      <c r="E447" s="54"/>
      <c r="F447" s="55"/>
      <c r="H447" s="55"/>
      <c r="J447" s="62"/>
      <c r="K447" s="55"/>
      <c r="L447" s="62"/>
      <c r="S447" s="55"/>
      <c r="Y447" s="55"/>
      <c r="Z447" s="55"/>
      <c r="AA447" s="55"/>
      <c r="AJ447" s="55"/>
    </row>
    <row r="448" ht="15.75" customHeight="1">
      <c r="A448" s="55"/>
      <c r="C448" s="55"/>
      <c r="E448" s="54"/>
      <c r="F448" s="55"/>
      <c r="H448" s="55"/>
      <c r="J448" s="62"/>
      <c r="K448" s="55"/>
      <c r="L448" s="62"/>
      <c r="S448" s="55"/>
      <c r="Y448" s="55"/>
      <c r="Z448" s="55"/>
      <c r="AA448" s="55"/>
      <c r="AJ448" s="55"/>
    </row>
    <row r="449" ht="15.75" customHeight="1">
      <c r="A449" s="55"/>
      <c r="C449" s="55"/>
      <c r="E449" s="54"/>
      <c r="F449" s="55"/>
      <c r="H449" s="55"/>
      <c r="J449" s="62"/>
      <c r="K449" s="55"/>
      <c r="L449" s="62"/>
      <c r="S449" s="55"/>
      <c r="Y449" s="55"/>
      <c r="Z449" s="55"/>
      <c r="AA449" s="55"/>
      <c r="AJ449" s="55"/>
    </row>
    <row r="450" ht="15.75" customHeight="1">
      <c r="A450" s="55"/>
      <c r="C450" s="55"/>
      <c r="E450" s="54"/>
      <c r="F450" s="55"/>
      <c r="H450" s="55"/>
      <c r="J450" s="62"/>
      <c r="K450" s="55"/>
      <c r="L450" s="62"/>
      <c r="S450" s="55"/>
      <c r="Y450" s="55"/>
      <c r="Z450" s="55"/>
      <c r="AA450" s="55"/>
      <c r="AJ450" s="55"/>
    </row>
    <row r="451" ht="15.75" customHeight="1">
      <c r="A451" s="55"/>
      <c r="C451" s="55"/>
      <c r="E451" s="54"/>
      <c r="F451" s="55"/>
      <c r="H451" s="55"/>
      <c r="J451" s="62"/>
      <c r="K451" s="55"/>
      <c r="L451" s="62"/>
      <c r="S451" s="55"/>
      <c r="Y451" s="55"/>
      <c r="Z451" s="55"/>
      <c r="AA451" s="55"/>
      <c r="AJ451" s="55"/>
    </row>
    <row r="452" ht="15.75" customHeight="1">
      <c r="A452" s="55"/>
      <c r="C452" s="55"/>
      <c r="E452" s="54"/>
      <c r="F452" s="55"/>
      <c r="H452" s="55"/>
      <c r="J452" s="62"/>
      <c r="K452" s="55"/>
      <c r="L452" s="62"/>
      <c r="S452" s="55"/>
      <c r="Y452" s="55"/>
      <c r="Z452" s="55"/>
      <c r="AA452" s="55"/>
      <c r="AJ452" s="55"/>
    </row>
    <row r="453" ht="15.75" customHeight="1">
      <c r="A453" s="55"/>
      <c r="C453" s="55"/>
      <c r="E453" s="54"/>
      <c r="F453" s="55"/>
      <c r="H453" s="55"/>
      <c r="J453" s="62"/>
      <c r="K453" s="55"/>
      <c r="L453" s="62"/>
      <c r="S453" s="55"/>
      <c r="Y453" s="55"/>
      <c r="Z453" s="55"/>
      <c r="AA453" s="55"/>
      <c r="AJ453" s="55"/>
    </row>
    <row r="454" ht="15.75" customHeight="1">
      <c r="A454" s="55"/>
      <c r="C454" s="55"/>
      <c r="E454" s="54"/>
      <c r="F454" s="55"/>
      <c r="H454" s="55"/>
      <c r="J454" s="62"/>
      <c r="K454" s="55"/>
      <c r="L454" s="62"/>
      <c r="S454" s="55"/>
      <c r="Y454" s="55"/>
      <c r="Z454" s="55"/>
      <c r="AA454" s="55"/>
      <c r="AJ454" s="55"/>
    </row>
    <row r="455" ht="15.75" customHeight="1">
      <c r="A455" s="55"/>
      <c r="C455" s="55"/>
      <c r="E455" s="54"/>
      <c r="F455" s="55"/>
      <c r="H455" s="55"/>
      <c r="J455" s="62"/>
      <c r="K455" s="55"/>
      <c r="L455" s="62"/>
      <c r="S455" s="55"/>
      <c r="Y455" s="55"/>
      <c r="Z455" s="55"/>
      <c r="AA455" s="55"/>
      <c r="AJ455" s="55"/>
    </row>
    <row r="456" ht="15.75" customHeight="1">
      <c r="A456" s="55"/>
      <c r="C456" s="55"/>
      <c r="E456" s="54"/>
      <c r="F456" s="55"/>
      <c r="H456" s="55"/>
      <c r="J456" s="62"/>
      <c r="K456" s="55"/>
      <c r="L456" s="62"/>
      <c r="S456" s="55"/>
      <c r="Y456" s="55"/>
      <c r="Z456" s="55"/>
      <c r="AA456" s="55"/>
      <c r="AJ456" s="55"/>
    </row>
    <row r="457" ht="15.75" customHeight="1">
      <c r="A457" s="55"/>
      <c r="C457" s="55"/>
      <c r="E457" s="54"/>
      <c r="F457" s="55"/>
      <c r="H457" s="55"/>
      <c r="J457" s="62"/>
      <c r="K457" s="55"/>
      <c r="L457" s="62"/>
      <c r="S457" s="55"/>
      <c r="Y457" s="55"/>
      <c r="Z457" s="55"/>
      <c r="AA457" s="55"/>
      <c r="AJ457" s="55"/>
    </row>
    <row r="458" ht="15.75" customHeight="1">
      <c r="A458" s="55"/>
      <c r="C458" s="55"/>
      <c r="E458" s="54"/>
      <c r="F458" s="55"/>
      <c r="H458" s="55"/>
      <c r="J458" s="62"/>
      <c r="K458" s="55"/>
      <c r="L458" s="62"/>
      <c r="S458" s="55"/>
      <c r="Y458" s="55"/>
      <c r="Z458" s="55"/>
      <c r="AA458" s="55"/>
      <c r="AJ458" s="55"/>
    </row>
    <row r="459" ht="15.75" customHeight="1">
      <c r="A459" s="55"/>
      <c r="C459" s="55"/>
      <c r="E459" s="54"/>
      <c r="F459" s="55"/>
      <c r="H459" s="55"/>
      <c r="J459" s="62"/>
      <c r="K459" s="55"/>
      <c r="L459" s="62"/>
      <c r="S459" s="55"/>
      <c r="Y459" s="55"/>
      <c r="Z459" s="55"/>
      <c r="AA459" s="55"/>
      <c r="AJ459" s="55"/>
    </row>
    <row r="460" ht="15.75" customHeight="1">
      <c r="A460" s="55"/>
      <c r="C460" s="55"/>
      <c r="E460" s="54"/>
      <c r="F460" s="55"/>
      <c r="H460" s="55"/>
      <c r="J460" s="62"/>
      <c r="K460" s="55"/>
      <c r="L460" s="62"/>
      <c r="S460" s="55"/>
      <c r="Y460" s="55"/>
      <c r="Z460" s="55"/>
      <c r="AA460" s="55"/>
      <c r="AJ460" s="55"/>
    </row>
    <row r="461" ht="15.75" customHeight="1">
      <c r="A461" s="55"/>
      <c r="C461" s="55"/>
      <c r="E461" s="54"/>
      <c r="F461" s="55"/>
      <c r="H461" s="55"/>
      <c r="J461" s="62"/>
      <c r="K461" s="55"/>
      <c r="L461" s="62"/>
      <c r="S461" s="55"/>
      <c r="Y461" s="55"/>
      <c r="Z461" s="55"/>
      <c r="AA461" s="55"/>
      <c r="AJ461" s="55"/>
    </row>
    <row r="462" ht="15.75" customHeight="1">
      <c r="A462" s="55"/>
      <c r="C462" s="55"/>
      <c r="E462" s="54"/>
      <c r="F462" s="55"/>
      <c r="H462" s="55"/>
      <c r="J462" s="62"/>
      <c r="K462" s="55"/>
      <c r="L462" s="62"/>
      <c r="S462" s="55"/>
      <c r="Y462" s="55"/>
      <c r="Z462" s="55"/>
      <c r="AA462" s="55"/>
      <c r="AJ462" s="55"/>
    </row>
    <row r="463" ht="15.75" customHeight="1">
      <c r="A463" s="55"/>
      <c r="C463" s="55"/>
      <c r="E463" s="54"/>
      <c r="F463" s="55"/>
      <c r="H463" s="55"/>
      <c r="J463" s="62"/>
      <c r="K463" s="55"/>
      <c r="L463" s="62"/>
      <c r="S463" s="55"/>
      <c r="Y463" s="55"/>
      <c r="Z463" s="55"/>
      <c r="AA463" s="55"/>
      <c r="AJ463" s="55"/>
    </row>
    <row r="464" ht="15.75" customHeight="1">
      <c r="A464" s="55"/>
      <c r="C464" s="55"/>
      <c r="E464" s="54"/>
      <c r="F464" s="55"/>
      <c r="H464" s="55"/>
      <c r="J464" s="62"/>
      <c r="K464" s="55"/>
      <c r="L464" s="62"/>
      <c r="S464" s="55"/>
      <c r="Y464" s="55"/>
      <c r="Z464" s="55"/>
      <c r="AA464" s="55"/>
      <c r="AJ464" s="55"/>
    </row>
    <row r="465" ht="15.75" customHeight="1">
      <c r="A465" s="55"/>
      <c r="C465" s="55"/>
      <c r="E465" s="54"/>
      <c r="F465" s="55"/>
      <c r="H465" s="55"/>
      <c r="J465" s="62"/>
      <c r="K465" s="55"/>
      <c r="L465" s="62"/>
      <c r="S465" s="55"/>
      <c r="Y465" s="55"/>
      <c r="Z465" s="55"/>
      <c r="AA465" s="55"/>
      <c r="AJ465" s="55"/>
    </row>
    <row r="466" ht="15.75" customHeight="1">
      <c r="A466" s="55"/>
      <c r="C466" s="55"/>
      <c r="E466" s="54"/>
      <c r="F466" s="55"/>
      <c r="H466" s="55"/>
      <c r="J466" s="62"/>
      <c r="K466" s="55"/>
      <c r="L466" s="62"/>
      <c r="S466" s="55"/>
      <c r="Y466" s="55"/>
      <c r="Z466" s="55"/>
      <c r="AA466" s="55"/>
      <c r="AJ466" s="55"/>
    </row>
    <row r="467" ht="15.75" customHeight="1">
      <c r="A467" s="55"/>
      <c r="C467" s="55"/>
      <c r="E467" s="54"/>
      <c r="F467" s="55"/>
      <c r="H467" s="55"/>
      <c r="J467" s="62"/>
      <c r="K467" s="55"/>
      <c r="L467" s="62"/>
      <c r="S467" s="55"/>
      <c r="Y467" s="55"/>
      <c r="Z467" s="55"/>
      <c r="AA467" s="55"/>
      <c r="AJ467" s="55"/>
    </row>
    <row r="468" ht="15.75" customHeight="1">
      <c r="A468" s="55"/>
      <c r="C468" s="55"/>
      <c r="E468" s="54"/>
      <c r="F468" s="55"/>
      <c r="H468" s="55"/>
      <c r="J468" s="62"/>
      <c r="K468" s="55"/>
      <c r="L468" s="62"/>
      <c r="S468" s="55"/>
      <c r="Y468" s="55"/>
      <c r="Z468" s="55"/>
      <c r="AA468" s="55"/>
      <c r="AJ468" s="55"/>
    </row>
    <row r="469" ht="15.75" customHeight="1">
      <c r="A469" s="55"/>
      <c r="C469" s="55"/>
      <c r="E469" s="54"/>
      <c r="F469" s="55"/>
      <c r="H469" s="55"/>
      <c r="J469" s="62"/>
      <c r="K469" s="55"/>
      <c r="L469" s="62"/>
      <c r="S469" s="55"/>
      <c r="Y469" s="55"/>
      <c r="Z469" s="55"/>
      <c r="AA469" s="55"/>
      <c r="AJ469" s="55"/>
    </row>
    <row r="470" ht="15.75" customHeight="1">
      <c r="A470" s="55"/>
      <c r="C470" s="55"/>
      <c r="E470" s="54"/>
      <c r="F470" s="55"/>
      <c r="H470" s="55"/>
      <c r="J470" s="62"/>
      <c r="K470" s="55"/>
      <c r="L470" s="62"/>
      <c r="S470" s="55"/>
      <c r="Y470" s="55"/>
      <c r="Z470" s="55"/>
      <c r="AA470" s="55"/>
      <c r="AJ470" s="55"/>
    </row>
    <row r="471" ht="15.75" customHeight="1">
      <c r="A471" s="55"/>
      <c r="C471" s="55"/>
      <c r="E471" s="54"/>
      <c r="F471" s="55"/>
      <c r="H471" s="55"/>
      <c r="J471" s="62"/>
      <c r="K471" s="55"/>
      <c r="L471" s="62"/>
      <c r="S471" s="55"/>
      <c r="Y471" s="55"/>
      <c r="Z471" s="55"/>
      <c r="AA471" s="55"/>
      <c r="AJ471" s="55"/>
    </row>
    <row r="472" ht="15.75" customHeight="1">
      <c r="A472" s="55"/>
      <c r="C472" s="55"/>
      <c r="E472" s="54"/>
      <c r="F472" s="55"/>
      <c r="H472" s="55"/>
      <c r="J472" s="62"/>
      <c r="K472" s="55"/>
      <c r="L472" s="62"/>
      <c r="S472" s="55"/>
      <c r="Y472" s="55"/>
      <c r="Z472" s="55"/>
      <c r="AA472" s="55"/>
      <c r="AJ472" s="55"/>
    </row>
    <row r="473" ht="15.75" customHeight="1">
      <c r="A473" s="55"/>
      <c r="C473" s="55"/>
      <c r="E473" s="54"/>
      <c r="F473" s="55"/>
      <c r="H473" s="55"/>
      <c r="J473" s="62"/>
      <c r="K473" s="55"/>
      <c r="L473" s="62"/>
      <c r="S473" s="55"/>
      <c r="Y473" s="55"/>
      <c r="Z473" s="55"/>
      <c r="AA473" s="55"/>
      <c r="AJ473" s="55"/>
    </row>
    <row r="474" ht="15.75" customHeight="1">
      <c r="A474" s="55"/>
      <c r="C474" s="55"/>
      <c r="E474" s="54"/>
      <c r="F474" s="55"/>
      <c r="H474" s="55"/>
      <c r="J474" s="62"/>
      <c r="K474" s="55"/>
      <c r="L474" s="62"/>
      <c r="S474" s="55"/>
      <c r="Y474" s="55"/>
      <c r="Z474" s="55"/>
      <c r="AA474" s="55"/>
      <c r="AJ474" s="55"/>
    </row>
    <row r="475" ht="15.75" customHeight="1">
      <c r="A475" s="55"/>
      <c r="C475" s="55"/>
      <c r="E475" s="54"/>
      <c r="F475" s="55"/>
      <c r="H475" s="55"/>
      <c r="J475" s="62"/>
      <c r="K475" s="55"/>
      <c r="L475" s="62"/>
      <c r="S475" s="55"/>
      <c r="Y475" s="55"/>
      <c r="Z475" s="55"/>
      <c r="AA475" s="55"/>
      <c r="AJ475" s="55"/>
    </row>
    <row r="476" ht="15.75" customHeight="1">
      <c r="A476" s="55"/>
      <c r="C476" s="55"/>
      <c r="E476" s="54"/>
      <c r="F476" s="55"/>
      <c r="H476" s="55"/>
      <c r="J476" s="62"/>
      <c r="K476" s="55"/>
      <c r="L476" s="62"/>
      <c r="S476" s="55"/>
      <c r="Y476" s="55"/>
      <c r="Z476" s="55"/>
      <c r="AA476" s="55"/>
      <c r="AJ476" s="55"/>
    </row>
    <row r="477" ht="15.75" customHeight="1">
      <c r="A477" s="55"/>
      <c r="C477" s="55"/>
      <c r="E477" s="54"/>
      <c r="F477" s="55"/>
      <c r="H477" s="55"/>
      <c r="J477" s="62"/>
      <c r="K477" s="55"/>
      <c r="L477" s="62"/>
      <c r="S477" s="55"/>
      <c r="Y477" s="55"/>
      <c r="Z477" s="55"/>
      <c r="AA477" s="55"/>
      <c r="AJ477" s="55"/>
    </row>
    <row r="478" ht="15.75" customHeight="1">
      <c r="A478" s="55"/>
      <c r="C478" s="55"/>
      <c r="E478" s="54"/>
      <c r="F478" s="55"/>
      <c r="H478" s="55"/>
      <c r="J478" s="62"/>
      <c r="K478" s="55"/>
      <c r="L478" s="62"/>
      <c r="S478" s="55"/>
      <c r="Y478" s="55"/>
      <c r="Z478" s="55"/>
      <c r="AA478" s="55"/>
      <c r="AJ478" s="55"/>
    </row>
    <row r="479" ht="15.75" customHeight="1">
      <c r="A479" s="55"/>
      <c r="C479" s="55"/>
      <c r="E479" s="54"/>
      <c r="F479" s="55"/>
      <c r="H479" s="55"/>
      <c r="J479" s="62"/>
      <c r="K479" s="55"/>
      <c r="L479" s="62"/>
      <c r="S479" s="55"/>
      <c r="Y479" s="55"/>
      <c r="Z479" s="55"/>
      <c r="AA479" s="55"/>
      <c r="AJ479" s="55"/>
    </row>
    <row r="480" ht="15.75" customHeight="1">
      <c r="A480" s="55"/>
      <c r="C480" s="55"/>
      <c r="E480" s="54"/>
      <c r="F480" s="55"/>
      <c r="H480" s="55"/>
      <c r="J480" s="62"/>
      <c r="K480" s="55"/>
      <c r="L480" s="62"/>
      <c r="S480" s="55"/>
      <c r="Y480" s="55"/>
      <c r="Z480" s="55"/>
      <c r="AA480" s="55"/>
      <c r="AJ480" s="55"/>
    </row>
    <row r="481" ht="15.75" customHeight="1">
      <c r="A481" s="55"/>
      <c r="C481" s="55"/>
      <c r="E481" s="54"/>
      <c r="F481" s="55"/>
      <c r="H481" s="55"/>
      <c r="J481" s="62"/>
      <c r="K481" s="55"/>
      <c r="L481" s="62"/>
      <c r="S481" s="55"/>
      <c r="Y481" s="55"/>
      <c r="Z481" s="55"/>
      <c r="AA481" s="55"/>
      <c r="AJ481" s="55"/>
    </row>
    <row r="482" ht="15.75" customHeight="1">
      <c r="A482" s="55"/>
      <c r="C482" s="55"/>
      <c r="E482" s="54"/>
      <c r="F482" s="55"/>
      <c r="H482" s="55"/>
      <c r="J482" s="62"/>
      <c r="K482" s="55"/>
      <c r="L482" s="62"/>
      <c r="S482" s="55"/>
      <c r="Y482" s="55"/>
      <c r="Z482" s="55"/>
      <c r="AA482" s="55"/>
      <c r="AJ482" s="55"/>
    </row>
    <row r="483" ht="15.75" customHeight="1">
      <c r="A483" s="55"/>
      <c r="C483" s="55"/>
      <c r="E483" s="54"/>
      <c r="F483" s="55"/>
      <c r="H483" s="55"/>
      <c r="J483" s="62"/>
      <c r="K483" s="55"/>
      <c r="L483" s="62"/>
      <c r="S483" s="55"/>
      <c r="Y483" s="55"/>
      <c r="Z483" s="55"/>
      <c r="AA483" s="55"/>
      <c r="AJ483" s="55"/>
    </row>
    <row r="484" ht="15.75" customHeight="1">
      <c r="A484" s="55"/>
      <c r="C484" s="55"/>
      <c r="E484" s="54"/>
      <c r="F484" s="55"/>
      <c r="H484" s="55"/>
      <c r="J484" s="62"/>
      <c r="K484" s="55"/>
      <c r="L484" s="62"/>
      <c r="S484" s="55"/>
      <c r="Y484" s="55"/>
      <c r="Z484" s="55"/>
      <c r="AA484" s="55"/>
      <c r="AJ484" s="55"/>
    </row>
    <row r="485" ht="15.75" customHeight="1">
      <c r="A485" s="55"/>
      <c r="C485" s="55"/>
      <c r="E485" s="54"/>
      <c r="F485" s="55"/>
      <c r="H485" s="55"/>
      <c r="J485" s="62"/>
      <c r="K485" s="55"/>
      <c r="L485" s="62"/>
      <c r="S485" s="55"/>
      <c r="Y485" s="55"/>
      <c r="Z485" s="55"/>
      <c r="AA485" s="55"/>
      <c r="AJ485" s="55"/>
    </row>
    <row r="486" ht="15.75" customHeight="1">
      <c r="A486" s="55"/>
      <c r="C486" s="55"/>
      <c r="E486" s="54"/>
      <c r="F486" s="55"/>
      <c r="H486" s="55"/>
      <c r="J486" s="62"/>
      <c r="K486" s="55"/>
      <c r="L486" s="62"/>
      <c r="S486" s="55"/>
      <c r="Y486" s="55"/>
      <c r="Z486" s="55"/>
      <c r="AA486" s="55"/>
      <c r="AJ486" s="55"/>
    </row>
    <row r="487" ht="15.75" customHeight="1">
      <c r="A487" s="55"/>
      <c r="C487" s="55"/>
      <c r="E487" s="54"/>
      <c r="F487" s="55"/>
      <c r="H487" s="55"/>
      <c r="J487" s="62"/>
      <c r="K487" s="55"/>
      <c r="L487" s="62"/>
      <c r="S487" s="55"/>
      <c r="Y487" s="55"/>
      <c r="Z487" s="55"/>
      <c r="AA487" s="55"/>
      <c r="AJ487" s="55"/>
    </row>
    <row r="488" ht="15.75" customHeight="1">
      <c r="A488" s="55"/>
      <c r="C488" s="55"/>
      <c r="E488" s="54"/>
      <c r="F488" s="55"/>
      <c r="H488" s="55"/>
      <c r="J488" s="62"/>
      <c r="K488" s="55"/>
      <c r="L488" s="62"/>
      <c r="S488" s="55"/>
      <c r="Y488" s="55"/>
      <c r="Z488" s="55"/>
      <c r="AA488" s="55"/>
      <c r="AJ488" s="55"/>
    </row>
    <row r="489" ht="15.75" customHeight="1">
      <c r="A489" s="55"/>
      <c r="C489" s="55"/>
      <c r="E489" s="54"/>
      <c r="F489" s="55"/>
      <c r="H489" s="55"/>
      <c r="J489" s="62"/>
      <c r="K489" s="55"/>
      <c r="L489" s="62"/>
      <c r="S489" s="55"/>
      <c r="Y489" s="55"/>
      <c r="Z489" s="55"/>
      <c r="AA489" s="55"/>
      <c r="AJ489" s="55"/>
    </row>
    <row r="490" ht="15.75" customHeight="1">
      <c r="A490" s="55"/>
      <c r="C490" s="55"/>
      <c r="E490" s="54"/>
      <c r="F490" s="55"/>
      <c r="H490" s="55"/>
      <c r="J490" s="62"/>
      <c r="K490" s="55"/>
      <c r="L490" s="62"/>
      <c r="S490" s="55"/>
      <c r="Y490" s="55"/>
      <c r="Z490" s="55"/>
      <c r="AA490" s="55"/>
      <c r="AJ490" s="55"/>
    </row>
    <row r="491" ht="15.75" customHeight="1">
      <c r="A491" s="55"/>
      <c r="C491" s="55"/>
      <c r="E491" s="54"/>
      <c r="F491" s="55"/>
      <c r="H491" s="55"/>
      <c r="J491" s="62"/>
      <c r="K491" s="55"/>
      <c r="L491" s="62"/>
      <c r="S491" s="55"/>
      <c r="Y491" s="55"/>
      <c r="Z491" s="55"/>
      <c r="AA491" s="55"/>
      <c r="AJ491" s="55"/>
    </row>
    <row r="492" ht="15.75" customHeight="1">
      <c r="A492" s="55"/>
      <c r="C492" s="55"/>
      <c r="E492" s="54"/>
      <c r="F492" s="55"/>
      <c r="H492" s="55"/>
      <c r="J492" s="62"/>
      <c r="K492" s="55"/>
      <c r="L492" s="62"/>
      <c r="S492" s="55"/>
      <c r="Y492" s="55"/>
      <c r="Z492" s="55"/>
      <c r="AA492" s="55"/>
      <c r="AJ492" s="55"/>
    </row>
    <row r="493" ht="15.75" customHeight="1">
      <c r="A493" s="55"/>
      <c r="C493" s="55"/>
      <c r="E493" s="54"/>
      <c r="F493" s="55"/>
      <c r="H493" s="55"/>
      <c r="J493" s="62"/>
      <c r="K493" s="55"/>
      <c r="L493" s="62"/>
      <c r="S493" s="55"/>
      <c r="Y493" s="55"/>
      <c r="Z493" s="55"/>
      <c r="AA493" s="55"/>
      <c r="AJ493" s="55"/>
    </row>
    <row r="494" ht="15.75" customHeight="1">
      <c r="A494" s="55"/>
      <c r="C494" s="55"/>
      <c r="E494" s="54"/>
      <c r="F494" s="55"/>
      <c r="H494" s="55"/>
      <c r="J494" s="62"/>
      <c r="K494" s="55"/>
      <c r="L494" s="62"/>
      <c r="S494" s="55"/>
      <c r="Y494" s="55"/>
      <c r="Z494" s="55"/>
      <c r="AA494" s="55"/>
      <c r="AJ494" s="55"/>
    </row>
    <row r="495" ht="15.75" customHeight="1">
      <c r="A495" s="55"/>
      <c r="C495" s="55"/>
      <c r="E495" s="54"/>
      <c r="F495" s="55"/>
      <c r="H495" s="55"/>
      <c r="J495" s="62"/>
      <c r="K495" s="55"/>
      <c r="L495" s="62"/>
      <c r="S495" s="55"/>
      <c r="Y495" s="55"/>
      <c r="Z495" s="55"/>
      <c r="AA495" s="55"/>
      <c r="AJ495" s="55"/>
    </row>
    <row r="496" ht="15.75" customHeight="1">
      <c r="A496" s="55"/>
      <c r="C496" s="55"/>
      <c r="E496" s="54"/>
      <c r="F496" s="55"/>
      <c r="H496" s="55"/>
      <c r="J496" s="62"/>
      <c r="K496" s="55"/>
      <c r="L496" s="62"/>
      <c r="S496" s="55"/>
      <c r="Y496" s="55"/>
      <c r="Z496" s="55"/>
      <c r="AA496" s="55"/>
      <c r="AJ496" s="55"/>
    </row>
    <row r="497" ht="15.75" customHeight="1">
      <c r="A497" s="55"/>
      <c r="C497" s="55"/>
      <c r="E497" s="54"/>
      <c r="F497" s="55"/>
      <c r="H497" s="55"/>
      <c r="J497" s="62"/>
      <c r="K497" s="55"/>
      <c r="L497" s="62"/>
      <c r="S497" s="55"/>
      <c r="Y497" s="55"/>
      <c r="Z497" s="55"/>
      <c r="AA497" s="55"/>
      <c r="AJ497" s="55"/>
    </row>
    <row r="498" ht="15.75" customHeight="1">
      <c r="A498" s="55"/>
      <c r="C498" s="55"/>
      <c r="E498" s="54"/>
      <c r="F498" s="55"/>
      <c r="H498" s="55"/>
      <c r="J498" s="62"/>
      <c r="K498" s="55"/>
      <c r="L498" s="62"/>
      <c r="S498" s="55"/>
      <c r="Y498" s="55"/>
      <c r="Z498" s="55"/>
      <c r="AA498" s="55"/>
      <c r="AJ498" s="55"/>
    </row>
    <row r="499" ht="15.75" customHeight="1">
      <c r="A499" s="55"/>
      <c r="C499" s="55"/>
      <c r="E499" s="54"/>
      <c r="F499" s="55"/>
      <c r="H499" s="55"/>
      <c r="J499" s="62"/>
      <c r="K499" s="55"/>
      <c r="L499" s="62"/>
      <c r="S499" s="55"/>
      <c r="Y499" s="55"/>
      <c r="Z499" s="55"/>
      <c r="AA499" s="55"/>
      <c r="AJ499" s="55"/>
    </row>
    <row r="500" ht="15.75" customHeight="1">
      <c r="A500" s="55"/>
      <c r="C500" s="55"/>
      <c r="E500" s="54"/>
      <c r="F500" s="55"/>
      <c r="H500" s="55"/>
      <c r="J500" s="62"/>
      <c r="K500" s="55"/>
      <c r="L500" s="62"/>
      <c r="S500" s="55"/>
      <c r="Y500" s="55"/>
      <c r="Z500" s="55"/>
      <c r="AA500" s="55"/>
      <c r="AJ500" s="55"/>
    </row>
    <row r="501" ht="15.75" customHeight="1">
      <c r="A501" s="55"/>
      <c r="C501" s="55"/>
      <c r="E501" s="54"/>
      <c r="F501" s="55"/>
      <c r="H501" s="55"/>
      <c r="J501" s="62"/>
      <c r="K501" s="55"/>
      <c r="L501" s="62"/>
      <c r="S501" s="55"/>
      <c r="Y501" s="55"/>
      <c r="Z501" s="55"/>
      <c r="AA501" s="55"/>
      <c r="AJ501" s="55"/>
    </row>
    <row r="502" ht="15.75" customHeight="1">
      <c r="A502" s="55"/>
      <c r="C502" s="55"/>
      <c r="E502" s="54"/>
      <c r="F502" s="55"/>
      <c r="H502" s="55"/>
      <c r="J502" s="62"/>
      <c r="K502" s="55"/>
      <c r="L502" s="62"/>
      <c r="S502" s="55"/>
      <c r="Y502" s="55"/>
      <c r="Z502" s="55"/>
      <c r="AA502" s="55"/>
      <c r="AJ502" s="55"/>
    </row>
    <row r="503" ht="15.75" customHeight="1">
      <c r="A503" s="55"/>
      <c r="C503" s="55"/>
      <c r="E503" s="54"/>
      <c r="F503" s="55"/>
      <c r="H503" s="55"/>
      <c r="J503" s="62"/>
      <c r="K503" s="55"/>
      <c r="L503" s="62"/>
      <c r="S503" s="55"/>
      <c r="Y503" s="55"/>
      <c r="Z503" s="55"/>
      <c r="AA503" s="55"/>
      <c r="AJ503" s="55"/>
    </row>
    <row r="504" ht="15.75" customHeight="1">
      <c r="A504" s="55"/>
      <c r="C504" s="55"/>
      <c r="E504" s="54"/>
      <c r="F504" s="55"/>
      <c r="H504" s="55"/>
      <c r="J504" s="62"/>
      <c r="K504" s="55"/>
      <c r="L504" s="62"/>
      <c r="S504" s="55"/>
      <c r="Y504" s="55"/>
      <c r="Z504" s="55"/>
      <c r="AA504" s="55"/>
      <c r="AJ504" s="55"/>
    </row>
    <row r="505" ht="15.75" customHeight="1">
      <c r="A505" s="55"/>
      <c r="C505" s="55"/>
      <c r="E505" s="54"/>
      <c r="F505" s="55"/>
      <c r="H505" s="55"/>
      <c r="J505" s="62"/>
      <c r="K505" s="55"/>
      <c r="L505" s="62"/>
      <c r="S505" s="55"/>
      <c r="Y505" s="55"/>
      <c r="Z505" s="55"/>
      <c r="AA505" s="55"/>
      <c r="AJ505" s="55"/>
    </row>
    <row r="506" ht="15.75" customHeight="1">
      <c r="A506" s="55"/>
      <c r="C506" s="55"/>
      <c r="E506" s="54"/>
      <c r="F506" s="55"/>
      <c r="H506" s="55"/>
      <c r="J506" s="62"/>
      <c r="K506" s="55"/>
      <c r="L506" s="62"/>
      <c r="S506" s="55"/>
      <c r="Y506" s="55"/>
      <c r="Z506" s="55"/>
      <c r="AA506" s="55"/>
      <c r="AJ506" s="55"/>
    </row>
    <row r="507" ht="15.75" customHeight="1">
      <c r="A507" s="55"/>
      <c r="C507" s="55"/>
      <c r="E507" s="54"/>
      <c r="F507" s="55"/>
      <c r="H507" s="55"/>
      <c r="J507" s="62"/>
      <c r="K507" s="55"/>
      <c r="L507" s="62"/>
      <c r="S507" s="55"/>
      <c r="Y507" s="55"/>
      <c r="Z507" s="55"/>
      <c r="AA507" s="55"/>
      <c r="AJ507" s="55"/>
    </row>
    <row r="508" ht="15.75" customHeight="1">
      <c r="A508" s="55"/>
      <c r="C508" s="55"/>
      <c r="E508" s="54"/>
      <c r="F508" s="55"/>
      <c r="H508" s="55"/>
      <c r="J508" s="62"/>
      <c r="K508" s="55"/>
      <c r="L508" s="62"/>
      <c r="S508" s="55"/>
      <c r="Y508" s="55"/>
      <c r="Z508" s="55"/>
      <c r="AA508" s="55"/>
      <c r="AJ508" s="55"/>
    </row>
    <row r="509" ht="15.75" customHeight="1">
      <c r="A509" s="55"/>
      <c r="C509" s="55"/>
      <c r="E509" s="54"/>
      <c r="F509" s="55"/>
      <c r="H509" s="55"/>
      <c r="J509" s="62"/>
      <c r="K509" s="55"/>
      <c r="L509" s="62"/>
      <c r="S509" s="55"/>
      <c r="Y509" s="55"/>
      <c r="Z509" s="55"/>
      <c r="AA509" s="55"/>
      <c r="AJ509" s="55"/>
    </row>
    <row r="510" ht="15.75" customHeight="1">
      <c r="A510" s="55"/>
      <c r="C510" s="55"/>
      <c r="E510" s="54"/>
      <c r="F510" s="55"/>
      <c r="H510" s="55"/>
      <c r="J510" s="62"/>
      <c r="K510" s="55"/>
      <c r="L510" s="62"/>
      <c r="S510" s="55"/>
      <c r="Y510" s="55"/>
      <c r="Z510" s="55"/>
      <c r="AA510" s="55"/>
      <c r="AJ510" s="55"/>
    </row>
    <row r="511" ht="15.75" customHeight="1">
      <c r="A511" s="55"/>
      <c r="C511" s="55"/>
      <c r="E511" s="54"/>
      <c r="F511" s="55"/>
      <c r="H511" s="55"/>
      <c r="J511" s="62"/>
      <c r="K511" s="55"/>
      <c r="L511" s="62"/>
      <c r="S511" s="55"/>
      <c r="Y511" s="55"/>
      <c r="Z511" s="55"/>
      <c r="AA511" s="55"/>
      <c r="AJ511" s="55"/>
    </row>
    <row r="512" ht="15.75" customHeight="1">
      <c r="A512" s="55"/>
      <c r="C512" s="55"/>
      <c r="E512" s="54"/>
      <c r="F512" s="55"/>
      <c r="H512" s="55"/>
      <c r="J512" s="62"/>
      <c r="K512" s="55"/>
      <c r="L512" s="62"/>
      <c r="S512" s="55"/>
      <c r="Y512" s="55"/>
      <c r="Z512" s="55"/>
      <c r="AA512" s="55"/>
      <c r="AJ512" s="55"/>
    </row>
    <row r="513" ht="15.75" customHeight="1">
      <c r="A513" s="55"/>
      <c r="C513" s="55"/>
      <c r="E513" s="54"/>
      <c r="F513" s="55"/>
      <c r="H513" s="55"/>
      <c r="J513" s="62"/>
      <c r="K513" s="55"/>
      <c r="L513" s="62"/>
      <c r="S513" s="55"/>
      <c r="Y513" s="55"/>
      <c r="Z513" s="55"/>
      <c r="AA513" s="55"/>
      <c r="AJ513" s="55"/>
    </row>
    <row r="514" ht="15.75" customHeight="1">
      <c r="A514" s="55"/>
      <c r="C514" s="55"/>
      <c r="E514" s="54"/>
      <c r="F514" s="55"/>
      <c r="H514" s="55"/>
      <c r="J514" s="62"/>
      <c r="K514" s="55"/>
      <c r="L514" s="62"/>
      <c r="S514" s="55"/>
      <c r="Y514" s="55"/>
      <c r="Z514" s="55"/>
      <c r="AA514" s="55"/>
      <c r="AJ514" s="55"/>
    </row>
    <row r="515" ht="15.75" customHeight="1">
      <c r="A515" s="55"/>
      <c r="C515" s="55"/>
      <c r="E515" s="54"/>
      <c r="F515" s="55"/>
      <c r="H515" s="55"/>
      <c r="J515" s="62"/>
      <c r="K515" s="55"/>
      <c r="L515" s="62"/>
      <c r="S515" s="55"/>
      <c r="Y515" s="55"/>
      <c r="Z515" s="55"/>
      <c r="AA515" s="55"/>
      <c r="AJ515" s="55"/>
    </row>
    <row r="516" ht="15.75" customHeight="1">
      <c r="A516" s="55"/>
      <c r="C516" s="55"/>
      <c r="E516" s="54"/>
      <c r="F516" s="55"/>
      <c r="H516" s="55"/>
      <c r="J516" s="62"/>
      <c r="K516" s="55"/>
      <c r="L516" s="62"/>
      <c r="S516" s="55"/>
      <c r="Y516" s="55"/>
      <c r="Z516" s="55"/>
      <c r="AA516" s="55"/>
      <c r="AJ516" s="55"/>
    </row>
    <row r="517" ht="15.75" customHeight="1">
      <c r="A517" s="55"/>
      <c r="C517" s="55"/>
      <c r="E517" s="54"/>
      <c r="F517" s="55"/>
      <c r="H517" s="55"/>
      <c r="J517" s="62"/>
      <c r="K517" s="55"/>
      <c r="L517" s="62"/>
      <c r="S517" s="55"/>
      <c r="Y517" s="55"/>
      <c r="Z517" s="55"/>
      <c r="AA517" s="55"/>
      <c r="AJ517" s="55"/>
    </row>
    <row r="518" ht="15.75" customHeight="1">
      <c r="A518" s="55"/>
      <c r="C518" s="55"/>
      <c r="E518" s="54"/>
      <c r="F518" s="55"/>
      <c r="H518" s="55"/>
      <c r="J518" s="62"/>
      <c r="K518" s="55"/>
      <c r="L518" s="62"/>
      <c r="S518" s="55"/>
      <c r="Y518" s="55"/>
      <c r="Z518" s="55"/>
      <c r="AA518" s="55"/>
      <c r="AJ518" s="55"/>
    </row>
    <row r="519" ht="15.75" customHeight="1">
      <c r="A519" s="55"/>
      <c r="C519" s="55"/>
      <c r="E519" s="54"/>
      <c r="F519" s="55"/>
      <c r="H519" s="55"/>
      <c r="J519" s="62"/>
      <c r="K519" s="55"/>
      <c r="L519" s="62"/>
      <c r="S519" s="55"/>
      <c r="Y519" s="55"/>
      <c r="Z519" s="55"/>
      <c r="AA519" s="55"/>
      <c r="AJ519" s="55"/>
    </row>
    <row r="520" ht="15.75" customHeight="1">
      <c r="A520" s="55"/>
      <c r="C520" s="55"/>
      <c r="E520" s="54"/>
      <c r="F520" s="55"/>
      <c r="H520" s="55"/>
      <c r="J520" s="62"/>
      <c r="K520" s="55"/>
      <c r="L520" s="62"/>
      <c r="S520" s="55"/>
      <c r="Y520" s="55"/>
      <c r="Z520" s="55"/>
      <c r="AA520" s="55"/>
      <c r="AJ520" s="55"/>
    </row>
    <row r="521" ht="15.75" customHeight="1">
      <c r="A521" s="55"/>
      <c r="C521" s="55"/>
      <c r="E521" s="54"/>
      <c r="F521" s="55"/>
      <c r="H521" s="55"/>
      <c r="J521" s="62"/>
      <c r="K521" s="55"/>
      <c r="L521" s="62"/>
      <c r="S521" s="55"/>
      <c r="Y521" s="55"/>
      <c r="Z521" s="55"/>
      <c r="AA521" s="55"/>
      <c r="AJ521" s="55"/>
    </row>
    <row r="522" ht="15.75" customHeight="1">
      <c r="A522" s="55"/>
      <c r="C522" s="55"/>
      <c r="E522" s="54"/>
      <c r="F522" s="55"/>
      <c r="H522" s="55"/>
      <c r="J522" s="62"/>
      <c r="K522" s="55"/>
      <c r="L522" s="62"/>
      <c r="S522" s="55"/>
      <c r="Y522" s="55"/>
      <c r="Z522" s="55"/>
      <c r="AA522" s="55"/>
      <c r="AJ522" s="55"/>
    </row>
    <row r="523" ht="15.75" customHeight="1">
      <c r="A523" s="55"/>
      <c r="C523" s="55"/>
      <c r="E523" s="54"/>
      <c r="F523" s="55"/>
      <c r="H523" s="55"/>
      <c r="J523" s="62"/>
      <c r="K523" s="55"/>
      <c r="L523" s="62"/>
      <c r="S523" s="55"/>
      <c r="Y523" s="55"/>
      <c r="Z523" s="55"/>
      <c r="AA523" s="55"/>
      <c r="AJ523" s="55"/>
    </row>
    <row r="524" ht="15.75" customHeight="1">
      <c r="A524" s="55"/>
      <c r="C524" s="55"/>
      <c r="E524" s="54"/>
      <c r="F524" s="55"/>
      <c r="H524" s="55"/>
      <c r="J524" s="62"/>
      <c r="K524" s="55"/>
      <c r="L524" s="62"/>
      <c r="S524" s="55"/>
      <c r="Y524" s="55"/>
      <c r="Z524" s="55"/>
      <c r="AA524" s="55"/>
      <c r="AJ524" s="55"/>
    </row>
    <row r="525" ht="15.75" customHeight="1">
      <c r="A525" s="55"/>
      <c r="C525" s="55"/>
      <c r="E525" s="54"/>
      <c r="F525" s="55"/>
      <c r="H525" s="55"/>
      <c r="J525" s="62"/>
      <c r="K525" s="55"/>
      <c r="L525" s="62"/>
      <c r="S525" s="55"/>
      <c r="Y525" s="55"/>
      <c r="Z525" s="55"/>
      <c r="AA525" s="55"/>
      <c r="AJ525" s="55"/>
    </row>
    <row r="526" ht="15.75" customHeight="1">
      <c r="A526" s="55"/>
      <c r="C526" s="55"/>
      <c r="E526" s="54"/>
      <c r="F526" s="55"/>
      <c r="H526" s="55"/>
      <c r="J526" s="62"/>
      <c r="K526" s="55"/>
      <c r="L526" s="62"/>
      <c r="S526" s="55"/>
      <c r="Y526" s="55"/>
      <c r="Z526" s="55"/>
      <c r="AA526" s="55"/>
      <c r="AJ526" s="55"/>
    </row>
    <row r="527" ht="15.75" customHeight="1">
      <c r="A527" s="55"/>
      <c r="C527" s="55"/>
      <c r="E527" s="54"/>
      <c r="F527" s="55"/>
      <c r="H527" s="55"/>
      <c r="J527" s="62"/>
      <c r="K527" s="55"/>
      <c r="L527" s="62"/>
      <c r="S527" s="55"/>
      <c r="Y527" s="55"/>
      <c r="Z527" s="55"/>
      <c r="AA527" s="55"/>
      <c r="AJ527" s="55"/>
    </row>
    <row r="528" ht="15.75" customHeight="1">
      <c r="A528" s="55"/>
      <c r="C528" s="55"/>
      <c r="E528" s="54"/>
      <c r="F528" s="55"/>
      <c r="H528" s="55"/>
      <c r="J528" s="62"/>
      <c r="K528" s="55"/>
      <c r="L528" s="62"/>
      <c r="S528" s="55"/>
      <c r="Y528" s="55"/>
      <c r="Z528" s="55"/>
      <c r="AA528" s="55"/>
      <c r="AJ528" s="55"/>
    </row>
    <row r="529" ht="15.75" customHeight="1">
      <c r="A529" s="55"/>
      <c r="C529" s="55"/>
      <c r="E529" s="54"/>
      <c r="F529" s="55"/>
      <c r="H529" s="55"/>
      <c r="J529" s="62"/>
      <c r="K529" s="55"/>
      <c r="L529" s="62"/>
      <c r="S529" s="55"/>
      <c r="Y529" s="55"/>
      <c r="Z529" s="55"/>
      <c r="AA529" s="55"/>
      <c r="AJ529" s="55"/>
    </row>
    <row r="530" ht="15.75" customHeight="1">
      <c r="A530" s="55"/>
      <c r="C530" s="55"/>
      <c r="E530" s="54"/>
      <c r="F530" s="55"/>
      <c r="H530" s="55"/>
      <c r="J530" s="62"/>
      <c r="K530" s="55"/>
      <c r="L530" s="62"/>
      <c r="S530" s="55"/>
      <c r="Y530" s="55"/>
      <c r="Z530" s="55"/>
      <c r="AA530" s="55"/>
      <c r="AJ530" s="55"/>
    </row>
    <row r="531" ht="15.75" customHeight="1">
      <c r="A531" s="55"/>
      <c r="C531" s="55"/>
      <c r="E531" s="54"/>
      <c r="F531" s="55"/>
      <c r="H531" s="55"/>
      <c r="J531" s="62"/>
      <c r="K531" s="55"/>
      <c r="L531" s="62"/>
      <c r="S531" s="55"/>
      <c r="Y531" s="55"/>
      <c r="Z531" s="55"/>
      <c r="AA531" s="55"/>
      <c r="AJ531" s="55"/>
    </row>
    <row r="532" ht="15.75" customHeight="1">
      <c r="A532" s="55"/>
      <c r="C532" s="55"/>
      <c r="E532" s="54"/>
      <c r="F532" s="55"/>
      <c r="H532" s="55"/>
      <c r="J532" s="62"/>
      <c r="K532" s="55"/>
      <c r="L532" s="62"/>
      <c r="S532" s="55"/>
      <c r="Y532" s="55"/>
      <c r="Z532" s="55"/>
      <c r="AA532" s="55"/>
      <c r="AJ532" s="55"/>
    </row>
    <row r="533" ht="15.75" customHeight="1">
      <c r="A533" s="55"/>
      <c r="C533" s="55"/>
      <c r="E533" s="54"/>
      <c r="F533" s="55"/>
      <c r="H533" s="55"/>
      <c r="J533" s="62"/>
      <c r="K533" s="55"/>
      <c r="L533" s="62"/>
      <c r="S533" s="55"/>
      <c r="Y533" s="55"/>
      <c r="Z533" s="55"/>
      <c r="AA533" s="55"/>
      <c r="AJ533" s="55"/>
    </row>
    <row r="534" ht="15.75" customHeight="1">
      <c r="A534" s="55"/>
      <c r="C534" s="55"/>
      <c r="E534" s="54"/>
      <c r="F534" s="55"/>
      <c r="H534" s="55"/>
      <c r="J534" s="62"/>
      <c r="K534" s="55"/>
      <c r="L534" s="62"/>
      <c r="S534" s="55"/>
      <c r="Y534" s="55"/>
      <c r="Z534" s="55"/>
      <c r="AA534" s="55"/>
      <c r="AJ534" s="55"/>
    </row>
    <row r="535" ht="15.75" customHeight="1">
      <c r="A535" s="55"/>
      <c r="C535" s="55"/>
      <c r="E535" s="54"/>
      <c r="F535" s="55"/>
      <c r="H535" s="55"/>
      <c r="J535" s="62"/>
      <c r="K535" s="55"/>
      <c r="L535" s="62"/>
      <c r="S535" s="55"/>
      <c r="Y535" s="55"/>
      <c r="Z535" s="55"/>
      <c r="AA535" s="55"/>
      <c r="AJ535" s="55"/>
    </row>
    <row r="536" ht="15.75" customHeight="1">
      <c r="A536" s="55"/>
      <c r="C536" s="55"/>
      <c r="E536" s="54"/>
      <c r="F536" s="55"/>
      <c r="H536" s="55"/>
      <c r="J536" s="62"/>
      <c r="K536" s="55"/>
      <c r="L536" s="62"/>
      <c r="S536" s="55"/>
      <c r="Y536" s="55"/>
      <c r="Z536" s="55"/>
      <c r="AA536" s="55"/>
      <c r="AJ536" s="55"/>
    </row>
    <row r="537" ht="15.75" customHeight="1">
      <c r="A537" s="55"/>
      <c r="C537" s="55"/>
      <c r="E537" s="54"/>
      <c r="F537" s="55"/>
      <c r="H537" s="55"/>
      <c r="J537" s="62"/>
      <c r="K537" s="55"/>
      <c r="L537" s="62"/>
      <c r="S537" s="55"/>
      <c r="Y537" s="55"/>
      <c r="Z537" s="55"/>
      <c r="AA537" s="55"/>
      <c r="AJ537" s="55"/>
    </row>
    <row r="538" ht="15.75" customHeight="1">
      <c r="A538" s="55"/>
      <c r="C538" s="55"/>
      <c r="E538" s="54"/>
      <c r="F538" s="55"/>
      <c r="H538" s="55"/>
      <c r="J538" s="62"/>
      <c r="K538" s="55"/>
      <c r="L538" s="62"/>
      <c r="S538" s="55"/>
      <c r="Y538" s="55"/>
      <c r="Z538" s="55"/>
      <c r="AA538" s="55"/>
      <c r="AJ538" s="55"/>
    </row>
    <row r="539" ht="15.75" customHeight="1">
      <c r="A539" s="55"/>
      <c r="C539" s="55"/>
      <c r="E539" s="54"/>
      <c r="F539" s="55"/>
      <c r="H539" s="55"/>
      <c r="J539" s="62"/>
      <c r="K539" s="55"/>
      <c r="L539" s="62"/>
      <c r="S539" s="55"/>
      <c r="Y539" s="55"/>
      <c r="Z539" s="55"/>
      <c r="AA539" s="55"/>
      <c r="AJ539" s="55"/>
    </row>
    <row r="540" ht="15.75" customHeight="1">
      <c r="A540" s="55"/>
      <c r="C540" s="55"/>
      <c r="E540" s="54"/>
      <c r="F540" s="55"/>
      <c r="H540" s="55"/>
      <c r="J540" s="62"/>
      <c r="K540" s="55"/>
      <c r="L540" s="62"/>
      <c r="S540" s="55"/>
      <c r="Y540" s="55"/>
      <c r="Z540" s="55"/>
      <c r="AA540" s="55"/>
      <c r="AJ540" s="55"/>
    </row>
    <row r="541" ht="15.75" customHeight="1">
      <c r="A541" s="55"/>
      <c r="C541" s="55"/>
      <c r="E541" s="54"/>
      <c r="F541" s="55"/>
      <c r="H541" s="55"/>
      <c r="J541" s="62"/>
      <c r="K541" s="55"/>
      <c r="L541" s="62"/>
      <c r="S541" s="55"/>
      <c r="Y541" s="55"/>
      <c r="Z541" s="55"/>
      <c r="AA541" s="55"/>
      <c r="AJ541" s="55"/>
    </row>
    <row r="542" ht="15.75" customHeight="1">
      <c r="A542" s="55"/>
      <c r="C542" s="55"/>
      <c r="E542" s="54"/>
      <c r="F542" s="55"/>
      <c r="H542" s="55"/>
      <c r="J542" s="62"/>
      <c r="K542" s="55"/>
      <c r="L542" s="62"/>
      <c r="S542" s="55"/>
      <c r="Y542" s="55"/>
      <c r="Z542" s="55"/>
      <c r="AA542" s="55"/>
      <c r="AJ542" s="55"/>
    </row>
    <row r="543" ht="15.75" customHeight="1">
      <c r="A543" s="55"/>
      <c r="C543" s="55"/>
      <c r="E543" s="54"/>
      <c r="F543" s="55"/>
      <c r="H543" s="55"/>
      <c r="J543" s="62"/>
      <c r="K543" s="55"/>
      <c r="L543" s="62"/>
      <c r="S543" s="55"/>
      <c r="Y543" s="55"/>
      <c r="Z543" s="55"/>
      <c r="AA543" s="55"/>
      <c r="AJ543" s="55"/>
    </row>
    <row r="544" ht="15.75" customHeight="1">
      <c r="A544" s="55"/>
      <c r="C544" s="55"/>
      <c r="E544" s="54"/>
      <c r="F544" s="55"/>
      <c r="H544" s="55"/>
      <c r="J544" s="62"/>
      <c r="K544" s="55"/>
      <c r="L544" s="62"/>
      <c r="S544" s="55"/>
      <c r="Y544" s="55"/>
      <c r="Z544" s="55"/>
      <c r="AA544" s="55"/>
      <c r="AJ544" s="55"/>
    </row>
    <row r="545" ht="15.75" customHeight="1">
      <c r="A545" s="55"/>
      <c r="C545" s="55"/>
      <c r="E545" s="54"/>
      <c r="F545" s="55"/>
      <c r="H545" s="55"/>
      <c r="J545" s="62"/>
      <c r="K545" s="55"/>
      <c r="L545" s="62"/>
      <c r="S545" s="55"/>
      <c r="Y545" s="55"/>
      <c r="Z545" s="55"/>
      <c r="AA545" s="55"/>
      <c r="AJ545" s="55"/>
    </row>
    <row r="546" ht="15.75" customHeight="1">
      <c r="A546" s="55"/>
      <c r="C546" s="55"/>
      <c r="E546" s="54"/>
      <c r="F546" s="55"/>
      <c r="H546" s="55"/>
      <c r="J546" s="62"/>
      <c r="K546" s="55"/>
      <c r="L546" s="62"/>
      <c r="S546" s="55"/>
      <c r="Y546" s="55"/>
      <c r="Z546" s="55"/>
      <c r="AA546" s="55"/>
      <c r="AJ546" s="55"/>
    </row>
    <row r="547" ht="15.75" customHeight="1">
      <c r="A547" s="55"/>
      <c r="C547" s="55"/>
      <c r="E547" s="54"/>
      <c r="F547" s="55"/>
      <c r="H547" s="55"/>
      <c r="J547" s="62"/>
      <c r="K547" s="55"/>
      <c r="L547" s="62"/>
      <c r="S547" s="55"/>
      <c r="Y547" s="55"/>
      <c r="Z547" s="55"/>
      <c r="AA547" s="55"/>
      <c r="AJ547" s="55"/>
    </row>
    <row r="548" ht="15.75" customHeight="1">
      <c r="A548" s="55"/>
      <c r="C548" s="55"/>
      <c r="E548" s="54"/>
      <c r="F548" s="55"/>
      <c r="H548" s="55"/>
      <c r="J548" s="62"/>
      <c r="K548" s="55"/>
      <c r="L548" s="62"/>
      <c r="S548" s="55"/>
      <c r="Y548" s="55"/>
      <c r="Z548" s="55"/>
      <c r="AA548" s="55"/>
      <c r="AJ548" s="55"/>
    </row>
    <row r="549" ht="15.75" customHeight="1">
      <c r="A549" s="55"/>
      <c r="C549" s="55"/>
      <c r="E549" s="54"/>
      <c r="F549" s="55"/>
      <c r="H549" s="55"/>
      <c r="J549" s="62"/>
      <c r="K549" s="55"/>
      <c r="L549" s="62"/>
      <c r="S549" s="55"/>
      <c r="Y549" s="55"/>
      <c r="Z549" s="55"/>
      <c r="AA549" s="55"/>
      <c r="AJ549" s="55"/>
    </row>
    <row r="550" ht="15.75" customHeight="1">
      <c r="A550" s="55"/>
      <c r="C550" s="55"/>
      <c r="E550" s="54"/>
      <c r="F550" s="55"/>
      <c r="H550" s="55"/>
      <c r="J550" s="62"/>
      <c r="K550" s="55"/>
      <c r="L550" s="62"/>
      <c r="S550" s="55"/>
      <c r="Y550" s="55"/>
      <c r="Z550" s="55"/>
      <c r="AA550" s="55"/>
      <c r="AJ550" s="55"/>
    </row>
    <row r="551" ht="15.75" customHeight="1">
      <c r="A551" s="55"/>
      <c r="C551" s="55"/>
      <c r="E551" s="54"/>
      <c r="F551" s="55"/>
      <c r="H551" s="55"/>
      <c r="J551" s="62"/>
      <c r="K551" s="55"/>
      <c r="L551" s="62"/>
      <c r="S551" s="55"/>
      <c r="Y551" s="55"/>
      <c r="Z551" s="55"/>
      <c r="AA551" s="55"/>
      <c r="AJ551" s="55"/>
    </row>
    <row r="552" ht="15.75" customHeight="1">
      <c r="A552" s="55"/>
      <c r="C552" s="55"/>
      <c r="E552" s="54"/>
      <c r="F552" s="55"/>
      <c r="H552" s="55"/>
      <c r="J552" s="62"/>
      <c r="K552" s="55"/>
      <c r="L552" s="62"/>
      <c r="S552" s="55"/>
      <c r="Y552" s="55"/>
      <c r="Z552" s="55"/>
      <c r="AA552" s="55"/>
      <c r="AJ552" s="55"/>
    </row>
    <row r="553" ht="15.75" customHeight="1">
      <c r="A553" s="55"/>
      <c r="C553" s="55"/>
      <c r="E553" s="54"/>
      <c r="F553" s="55"/>
      <c r="H553" s="55"/>
      <c r="J553" s="62"/>
      <c r="K553" s="55"/>
      <c r="L553" s="62"/>
      <c r="S553" s="55"/>
      <c r="Y553" s="55"/>
      <c r="Z553" s="55"/>
      <c r="AA553" s="55"/>
      <c r="AJ553" s="55"/>
    </row>
    <row r="554" ht="15.75" customHeight="1">
      <c r="A554" s="55"/>
      <c r="C554" s="55"/>
      <c r="E554" s="54"/>
      <c r="F554" s="55"/>
      <c r="H554" s="55"/>
      <c r="J554" s="62"/>
      <c r="K554" s="55"/>
      <c r="L554" s="62"/>
      <c r="S554" s="55"/>
      <c r="Y554" s="55"/>
      <c r="Z554" s="55"/>
      <c r="AA554" s="55"/>
      <c r="AJ554" s="55"/>
    </row>
    <row r="555" ht="15.75" customHeight="1">
      <c r="A555" s="55"/>
      <c r="C555" s="55"/>
      <c r="E555" s="54"/>
      <c r="F555" s="55"/>
      <c r="H555" s="55"/>
      <c r="J555" s="62"/>
      <c r="K555" s="55"/>
      <c r="L555" s="62"/>
      <c r="S555" s="55"/>
      <c r="Y555" s="55"/>
      <c r="Z555" s="55"/>
      <c r="AA555" s="55"/>
      <c r="AJ555" s="55"/>
    </row>
    <row r="556" ht="15.75" customHeight="1">
      <c r="A556" s="55"/>
      <c r="C556" s="55"/>
      <c r="E556" s="54"/>
      <c r="F556" s="55"/>
      <c r="H556" s="55"/>
      <c r="J556" s="62"/>
      <c r="K556" s="55"/>
      <c r="L556" s="62"/>
      <c r="S556" s="55"/>
      <c r="Y556" s="55"/>
      <c r="Z556" s="55"/>
      <c r="AA556" s="55"/>
      <c r="AJ556" s="55"/>
    </row>
    <row r="557" ht="15.75" customHeight="1">
      <c r="A557" s="55"/>
      <c r="C557" s="55"/>
      <c r="E557" s="54"/>
      <c r="F557" s="55"/>
      <c r="H557" s="55"/>
      <c r="J557" s="62"/>
      <c r="K557" s="55"/>
      <c r="L557" s="62"/>
      <c r="S557" s="55"/>
      <c r="Y557" s="55"/>
      <c r="Z557" s="55"/>
      <c r="AA557" s="55"/>
      <c r="AJ557" s="55"/>
    </row>
    <row r="558" ht="15.75" customHeight="1">
      <c r="A558" s="55"/>
      <c r="C558" s="55"/>
      <c r="E558" s="54"/>
      <c r="F558" s="55"/>
      <c r="H558" s="55"/>
      <c r="J558" s="62"/>
      <c r="K558" s="55"/>
      <c r="L558" s="62"/>
      <c r="S558" s="55"/>
      <c r="Y558" s="55"/>
      <c r="Z558" s="55"/>
      <c r="AA558" s="55"/>
      <c r="AJ558" s="55"/>
    </row>
    <row r="559" ht="15.75" customHeight="1">
      <c r="A559" s="55"/>
      <c r="C559" s="55"/>
      <c r="E559" s="54"/>
      <c r="F559" s="55"/>
      <c r="H559" s="55"/>
      <c r="J559" s="62"/>
      <c r="K559" s="55"/>
      <c r="L559" s="62"/>
      <c r="S559" s="55"/>
      <c r="Y559" s="55"/>
      <c r="Z559" s="55"/>
      <c r="AA559" s="55"/>
      <c r="AJ559" s="55"/>
    </row>
    <row r="560" ht="15.75" customHeight="1">
      <c r="A560" s="55"/>
      <c r="C560" s="55"/>
      <c r="E560" s="54"/>
      <c r="F560" s="55"/>
      <c r="H560" s="55"/>
      <c r="J560" s="62"/>
      <c r="K560" s="55"/>
      <c r="L560" s="62"/>
      <c r="S560" s="55"/>
      <c r="Y560" s="55"/>
      <c r="Z560" s="55"/>
      <c r="AA560" s="55"/>
      <c r="AJ560" s="55"/>
    </row>
    <row r="561" ht="15.75" customHeight="1">
      <c r="A561" s="55"/>
      <c r="C561" s="55"/>
      <c r="E561" s="54"/>
      <c r="F561" s="55"/>
      <c r="H561" s="55"/>
      <c r="J561" s="62"/>
      <c r="K561" s="55"/>
      <c r="L561" s="62"/>
      <c r="S561" s="55"/>
      <c r="Y561" s="55"/>
      <c r="Z561" s="55"/>
      <c r="AA561" s="55"/>
      <c r="AJ561" s="55"/>
    </row>
    <row r="562" ht="15.75" customHeight="1">
      <c r="A562" s="55"/>
      <c r="C562" s="55"/>
      <c r="E562" s="54"/>
      <c r="F562" s="55"/>
      <c r="H562" s="55"/>
      <c r="J562" s="62"/>
      <c r="K562" s="55"/>
      <c r="L562" s="62"/>
      <c r="S562" s="55"/>
      <c r="Y562" s="55"/>
      <c r="Z562" s="55"/>
      <c r="AA562" s="55"/>
      <c r="AJ562" s="55"/>
    </row>
    <row r="563" ht="15.75" customHeight="1">
      <c r="A563" s="55"/>
      <c r="C563" s="55"/>
      <c r="E563" s="54"/>
      <c r="F563" s="55"/>
      <c r="H563" s="55"/>
      <c r="J563" s="62"/>
      <c r="K563" s="55"/>
      <c r="L563" s="62"/>
      <c r="S563" s="55"/>
      <c r="Y563" s="55"/>
      <c r="Z563" s="55"/>
      <c r="AA563" s="55"/>
      <c r="AJ563" s="55"/>
    </row>
    <row r="564" ht="15.75" customHeight="1">
      <c r="A564" s="55"/>
      <c r="C564" s="55"/>
      <c r="E564" s="54"/>
      <c r="F564" s="55"/>
      <c r="H564" s="55"/>
      <c r="J564" s="62"/>
      <c r="K564" s="55"/>
      <c r="L564" s="62"/>
      <c r="S564" s="55"/>
      <c r="Y564" s="55"/>
      <c r="Z564" s="55"/>
      <c r="AA564" s="55"/>
      <c r="AJ564" s="55"/>
    </row>
    <row r="565" ht="15.75" customHeight="1">
      <c r="A565" s="55"/>
      <c r="C565" s="55"/>
      <c r="E565" s="54"/>
      <c r="F565" s="55"/>
      <c r="H565" s="55"/>
      <c r="J565" s="62"/>
      <c r="K565" s="55"/>
      <c r="L565" s="62"/>
      <c r="S565" s="55"/>
      <c r="Y565" s="55"/>
      <c r="Z565" s="55"/>
      <c r="AA565" s="55"/>
      <c r="AJ565" s="55"/>
    </row>
    <row r="566" ht="15.75" customHeight="1">
      <c r="A566" s="55"/>
      <c r="C566" s="55"/>
      <c r="E566" s="54"/>
      <c r="F566" s="55"/>
      <c r="H566" s="55"/>
      <c r="J566" s="62"/>
      <c r="K566" s="55"/>
      <c r="L566" s="62"/>
      <c r="S566" s="55"/>
      <c r="Y566" s="55"/>
      <c r="Z566" s="55"/>
      <c r="AA566" s="55"/>
      <c r="AJ566" s="55"/>
    </row>
    <row r="567" ht="15.75" customHeight="1">
      <c r="A567" s="55"/>
      <c r="C567" s="55"/>
      <c r="E567" s="54"/>
      <c r="F567" s="55"/>
      <c r="H567" s="55"/>
      <c r="J567" s="62"/>
      <c r="K567" s="55"/>
      <c r="L567" s="62"/>
      <c r="S567" s="55"/>
      <c r="Y567" s="55"/>
      <c r="Z567" s="55"/>
      <c r="AA567" s="55"/>
      <c r="AJ567" s="55"/>
    </row>
    <row r="568" ht="15.75" customHeight="1">
      <c r="A568" s="55"/>
      <c r="C568" s="55"/>
      <c r="E568" s="54"/>
      <c r="F568" s="55"/>
      <c r="H568" s="55"/>
      <c r="J568" s="62"/>
      <c r="K568" s="55"/>
      <c r="L568" s="62"/>
      <c r="S568" s="55"/>
      <c r="Y568" s="55"/>
      <c r="Z568" s="55"/>
      <c r="AA568" s="55"/>
      <c r="AJ568" s="55"/>
    </row>
    <row r="569" ht="15.75" customHeight="1">
      <c r="A569" s="55"/>
      <c r="C569" s="55"/>
      <c r="E569" s="54"/>
      <c r="F569" s="55"/>
      <c r="H569" s="55"/>
      <c r="J569" s="62"/>
      <c r="K569" s="55"/>
      <c r="L569" s="62"/>
      <c r="S569" s="55"/>
      <c r="Y569" s="55"/>
      <c r="Z569" s="55"/>
      <c r="AA569" s="55"/>
      <c r="AJ569" s="55"/>
    </row>
    <row r="570" ht="15.75" customHeight="1">
      <c r="A570" s="55"/>
      <c r="C570" s="55"/>
      <c r="E570" s="54"/>
      <c r="F570" s="55"/>
      <c r="H570" s="55"/>
      <c r="J570" s="62"/>
      <c r="K570" s="55"/>
      <c r="L570" s="62"/>
      <c r="S570" s="55"/>
      <c r="Y570" s="55"/>
      <c r="Z570" s="55"/>
      <c r="AA570" s="55"/>
      <c r="AJ570" s="55"/>
    </row>
    <row r="571" ht="15.75" customHeight="1">
      <c r="A571" s="55"/>
      <c r="C571" s="55"/>
      <c r="E571" s="54"/>
      <c r="F571" s="55"/>
      <c r="H571" s="55"/>
      <c r="J571" s="62"/>
      <c r="K571" s="55"/>
      <c r="L571" s="62"/>
      <c r="S571" s="55"/>
      <c r="Y571" s="55"/>
      <c r="Z571" s="55"/>
      <c r="AA571" s="55"/>
      <c r="AJ571" s="55"/>
    </row>
    <row r="572" ht="15.75" customHeight="1">
      <c r="A572" s="55"/>
      <c r="C572" s="55"/>
      <c r="E572" s="54"/>
      <c r="F572" s="55"/>
      <c r="H572" s="55"/>
      <c r="J572" s="62"/>
      <c r="K572" s="55"/>
      <c r="L572" s="62"/>
      <c r="S572" s="55"/>
      <c r="Y572" s="55"/>
      <c r="Z572" s="55"/>
      <c r="AA572" s="55"/>
      <c r="AJ572" s="55"/>
    </row>
    <row r="573" ht="15.75" customHeight="1">
      <c r="A573" s="55"/>
      <c r="C573" s="55"/>
      <c r="E573" s="54"/>
      <c r="F573" s="55"/>
      <c r="H573" s="55"/>
      <c r="J573" s="62"/>
      <c r="K573" s="55"/>
      <c r="L573" s="62"/>
      <c r="S573" s="55"/>
      <c r="Y573" s="55"/>
      <c r="Z573" s="55"/>
      <c r="AA573" s="55"/>
      <c r="AJ573" s="55"/>
    </row>
    <row r="574" ht="15.75" customHeight="1">
      <c r="A574" s="55"/>
      <c r="C574" s="55"/>
      <c r="E574" s="54"/>
      <c r="F574" s="55"/>
      <c r="H574" s="55"/>
      <c r="J574" s="62"/>
      <c r="K574" s="55"/>
      <c r="L574" s="62"/>
      <c r="S574" s="55"/>
      <c r="Y574" s="55"/>
      <c r="Z574" s="55"/>
      <c r="AA574" s="55"/>
      <c r="AJ574" s="55"/>
    </row>
    <row r="575" ht="15.75" customHeight="1">
      <c r="A575" s="55"/>
      <c r="C575" s="55"/>
      <c r="E575" s="54"/>
      <c r="F575" s="55"/>
      <c r="H575" s="55"/>
      <c r="J575" s="62"/>
      <c r="K575" s="55"/>
      <c r="L575" s="62"/>
      <c r="S575" s="55"/>
      <c r="Y575" s="55"/>
      <c r="Z575" s="55"/>
      <c r="AA575" s="55"/>
      <c r="AJ575" s="55"/>
    </row>
    <row r="576" ht="15.75" customHeight="1">
      <c r="A576" s="55"/>
      <c r="C576" s="55"/>
      <c r="E576" s="54"/>
      <c r="F576" s="55"/>
      <c r="H576" s="55"/>
      <c r="J576" s="62"/>
      <c r="K576" s="55"/>
      <c r="L576" s="62"/>
      <c r="S576" s="55"/>
      <c r="Y576" s="55"/>
      <c r="Z576" s="55"/>
      <c r="AA576" s="55"/>
      <c r="AJ576" s="55"/>
    </row>
    <row r="577" ht="15.75" customHeight="1">
      <c r="A577" s="55"/>
      <c r="C577" s="55"/>
      <c r="E577" s="54"/>
      <c r="F577" s="55"/>
      <c r="H577" s="55"/>
      <c r="J577" s="62"/>
      <c r="K577" s="55"/>
      <c r="L577" s="62"/>
      <c r="S577" s="55"/>
      <c r="Y577" s="55"/>
      <c r="Z577" s="55"/>
      <c r="AA577" s="55"/>
      <c r="AJ577" s="55"/>
    </row>
    <row r="578" ht="15.75" customHeight="1">
      <c r="A578" s="55"/>
      <c r="C578" s="55"/>
      <c r="E578" s="54"/>
      <c r="F578" s="55"/>
      <c r="H578" s="55"/>
      <c r="J578" s="62"/>
      <c r="K578" s="55"/>
      <c r="L578" s="62"/>
      <c r="S578" s="55"/>
      <c r="Y578" s="55"/>
      <c r="Z578" s="55"/>
      <c r="AA578" s="55"/>
      <c r="AJ578" s="55"/>
    </row>
    <row r="579" ht="15.75" customHeight="1">
      <c r="A579" s="55"/>
      <c r="C579" s="55"/>
      <c r="E579" s="54"/>
      <c r="F579" s="55"/>
      <c r="H579" s="55"/>
      <c r="J579" s="62"/>
      <c r="K579" s="55"/>
      <c r="L579" s="62"/>
      <c r="S579" s="55"/>
      <c r="Y579" s="55"/>
      <c r="Z579" s="55"/>
      <c r="AA579" s="55"/>
      <c r="AJ579" s="55"/>
    </row>
    <row r="580" ht="15.75" customHeight="1">
      <c r="A580" s="55"/>
      <c r="C580" s="55"/>
      <c r="E580" s="54"/>
      <c r="F580" s="55"/>
      <c r="H580" s="55"/>
      <c r="J580" s="62"/>
      <c r="K580" s="55"/>
      <c r="L580" s="62"/>
      <c r="S580" s="55"/>
      <c r="Y580" s="55"/>
      <c r="Z580" s="55"/>
      <c r="AA580" s="55"/>
      <c r="AJ580" s="55"/>
    </row>
    <row r="581" ht="15.75" customHeight="1">
      <c r="A581" s="55"/>
      <c r="C581" s="55"/>
      <c r="E581" s="54"/>
      <c r="F581" s="55"/>
      <c r="H581" s="55"/>
      <c r="J581" s="62"/>
      <c r="K581" s="55"/>
      <c r="L581" s="62"/>
      <c r="S581" s="55"/>
      <c r="Y581" s="55"/>
      <c r="Z581" s="55"/>
      <c r="AA581" s="55"/>
      <c r="AJ581" s="55"/>
    </row>
    <row r="582" ht="15.75" customHeight="1">
      <c r="A582" s="55"/>
      <c r="C582" s="55"/>
      <c r="E582" s="54"/>
      <c r="F582" s="55"/>
      <c r="H582" s="55"/>
      <c r="J582" s="62"/>
      <c r="K582" s="55"/>
      <c r="L582" s="62"/>
      <c r="S582" s="55"/>
      <c r="Y582" s="55"/>
      <c r="Z582" s="55"/>
      <c r="AA582" s="55"/>
      <c r="AJ582" s="55"/>
    </row>
    <row r="583" ht="15.75" customHeight="1">
      <c r="A583" s="55"/>
      <c r="C583" s="55"/>
      <c r="E583" s="54"/>
      <c r="F583" s="55"/>
      <c r="H583" s="55"/>
      <c r="J583" s="62"/>
      <c r="K583" s="55"/>
      <c r="L583" s="62"/>
      <c r="S583" s="55"/>
      <c r="Y583" s="55"/>
      <c r="Z583" s="55"/>
      <c r="AA583" s="55"/>
      <c r="AJ583" s="55"/>
    </row>
    <row r="584" ht="15.75" customHeight="1">
      <c r="A584" s="55"/>
      <c r="C584" s="55"/>
      <c r="E584" s="54"/>
      <c r="F584" s="55"/>
      <c r="H584" s="55"/>
      <c r="J584" s="62"/>
      <c r="K584" s="55"/>
      <c r="L584" s="62"/>
      <c r="S584" s="55"/>
      <c r="Y584" s="55"/>
      <c r="Z584" s="55"/>
      <c r="AA584" s="55"/>
      <c r="AJ584" s="55"/>
    </row>
    <row r="585" ht="15.75" customHeight="1">
      <c r="A585" s="55"/>
      <c r="C585" s="55"/>
      <c r="E585" s="54"/>
      <c r="F585" s="55"/>
      <c r="H585" s="55"/>
      <c r="J585" s="62"/>
      <c r="K585" s="55"/>
      <c r="L585" s="62"/>
      <c r="S585" s="55"/>
      <c r="Y585" s="55"/>
      <c r="Z585" s="55"/>
      <c r="AA585" s="55"/>
      <c r="AJ585" s="55"/>
    </row>
    <row r="586" ht="15.75" customHeight="1">
      <c r="A586" s="55"/>
      <c r="C586" s="55"/>
      <c r="E586" s="54"/>
      <c r="F586" s="55"/>
      <c r="H586" s="55"/>
      <c r="J586" s="62"/>
      <c r="K586" s="55"/>
      <c r="L586" s="62"/>
      <c r="S586" s="55"/>
      <c r="Y586" s="55"/>
      <c r="Z586" s="55"/>
      <c r="AA586" s="55"/>
      <c r="AJ586" s="55"/>
    </row>
    <row r="587" ht="15.75" customHeight="1">
      <c r="A587" s="55"/>
      <c r="C587" s="55"/>
      <c r="E587" s="54"/>
      <c r="F587" s="55"/>
      <c r="H587" s="55"/>
      <c r="J587" s="62"/>
      <c r="K587" s="55"/>
      <c r="L587" s="62"/>
      <c r="S587" s="55"/>
      <c r="Y587" s="55"/>
      <c r="Z587" s="55"/>
      <c r="AA587" s="55"/>
      <c r="AJ587" s="55"/>
    </row>
    <row r="588" ht="15.75" customHeight="1">
      <c r="A588" s="55"/>
      <c r="C588" s="55"/>
      <c r="E588" s="54"/>
      <c r="F588" s="55"/>
      <c r="H588" s="55"/>
      <c r="J588" s="62"/>
      <c r="K588" s="55"/>
      <c r="L588" s="62"/>
      <c r="S588" s="55"/>
      <c r="Y588" s="55"/>
      <c r="Z588" s="55"/>
      <c r="AA588" s="55"/>
      <c r="AJ588" s="55"/>
    </row>
    <row r="589" ht="15.75" customHeight="1">
      <c r="A589" s="55"/>
      <c r="C589" s="55"/>
      <c r="E589" s="54"/>
      <c r="F589" s="55"/>
      <c r="H589" s="55"/>
      <c r="J589" s="62"/>
      <c r="K589" s="55"/>
      <c r="L589" s="62"/>
      <c r="S589" s="55"/>
      <c r="Y589" s="55"/>
      <c r="Z589" s="55"/>
      <c r="AA589" s="55"/>
      <c r="AJ589" s="55"/>
    </row>
    <row r="590" ht="15.75" customHeight="1">
      <c r="A590" s="55"/>
      <c r="C590" s="55"/>
      <c r="E590" s="54"/>
      <c r="F590" s="55"/>
      <c r="H590" s="55"/>
      <c r="J590" s="62"/>
      <c r="K590" s="55"/>
      <c r="L590" s="62"/>
      <c r="S590" s="55"/>
      <c r="Y590" s="55"/>
      <c r="Z590" s="55"/>
      <c r="AA590" s="55"/>
      <c r="AJ590" s="55"/>
    </row>
    <row r="591" ht="15.75" customHeight="1">
      <c r="A591" s="55"/>
      <c r="C591" s="55"/>
      <c r="E591" s="54"/>
      <c r="F591" s="55"/>
      <c r="H591" s="55"/>
      <c r="J591" s="62"/>
      <c r="K591" s="55"/>
      <c r="L591" s="62"/>
      <c r="S591" s="55"/>
      <c r="Y591" s="55"/>
      <c r="Z591" s="55"/>
      <c r="AA591" s="55"/>
      <c r="AJ591" s="55"/>
    </row>
    <row r="592" ht="15.75" customHeight="1">
      <c r="A592" s="55"/>
      <c r="C592" s="55"/>
      <c r="E592" s="54"/>
      <c r="F592" s="55"/>
      <c r="H592" s="55"/>
      <c r="J592" s="62"/>
      <c r="K592" s="55"/>
      <c r="L592" s="62"/>
      <c r="S592" s="55"/>
      <c r="Y592" s="55"/>
      <c r="Z592" s="55"/>
      <c r="AA592" s="55"/>
      <c r="AJ592" s="55"/>
    </row>
    <row r="593" ht="15.75" customHeight="1">
      <c r="A593" s="55"/>
      <c r="C593" s="55"/>
      <c r="E593" s="54"/>
      <c r="F593" s="55"/>
      <c r="H593" s="55"/>
      <c r="J593" s="62"/>
      <c r="K593" s="55"/>
      <c r="L593" s="62"/>
      <c r="S593" s="55"/>
      <c r="Y593" s="55"/>
      <c r="Z593" s="55"/>
      <c r="AA593" s="55"/>
      <c r="AJ593" s="55"/>
    </row>
    <row r="594" ht="15.75" customHeight="1">
      <c r="A594" s="55"/>
      <c r="C594" s="55"/>
      <c r="E594" s="54"/>
      <c r="F594" s="55"/>
      <c r="H594" s="55"/>
      <c r="J594" s="62"/>
      <c r="K594" s="55"/>
      <c r="L594" s="62"/>
      <c r="S594" s="55"/>
      <c r="Y594" s="55"/>
      <c r="Z594" s="55"/>
      <c r="AA594" s="55"/>
      <c r="AJ594" s="55"/>
    </row>
    <row r="595" ht="15.75" customHeight="1">
      <c r="A595" s="55"/>
      <c r="C595" s="55"/>
      <c r="E595" s="54"/>
      <c r="F595" s="55"/>
      <c r="H595" s="55"/>
      <c r="J595" s="62"/>
      <c r="K595" s="55"/>
      <c r="L595" s="62"/>
      <c r="S595" s="55"/>
      <c r="Y595" s="55"/>
      <c r="Z595" s="55"/>
      <c r="AA595" s="55"/>
      <c r="AJ595" s="55"/>
    </row>
    <row r="596" ht="15.75" customHeight="1">
      <c r="A596" s="55"/>
      <c r="C596" s="55"/>
      <c r="E596" s="54"/>
      <c r="F596" s="55"/>
      <c r="H596" s="55"/>
      <c r="J596" s="62"/>
      <c r="K596" s="55"/>
      <c r="L596" s="62"/>
      <c r="S596" s="55"/>
      <c r="Y596" s="55"/>
      <c r="Z596" s="55"/>
      <c r="AA596" s="55"/>
      <c r="AJ596" s="55"/>
    </row>
    <row r="597" ht="15.75" customHeight="1">
      <c r="A597" s="55"/>
      <c r="C597" s="55"/>
      <c r="E597" s="54"/>
      <c r="F597" s="55"/>
      <c r="H597" s="55"/>
      <c r="J597" s="62"/>
      <c r="K597" s="55"/>
      <c r="L597" s="62"/>
      <c r="S597" s="55"/>
      <c r="Y597" s="55"/>
      <c r="Z597" s="55"/>
      <c r="AA597" s="55"/>
      <c r="AJ597" s="55"/>
    </row>
    <row r="598" ht="15.75" customHeight="1">
      <c r="A598" s="55"/>
      <c r="C598" s="55"/>
      <c r="E598" s="54"/>
      <c r="F598" s="55"/>
      <c r="H598" s="55"/>
      <c r="J598" s="62"/>
      <c r="K598" s="55"/>
      <c r="L598" s="62"/>
      <c r="S598" s="55"/>
      <c r="Y598" s="55"/>
      <c r="Z598" s="55"/>
      <c r="AA598" s="55"/>
      <c r="AJ598" s="55"/>
    </row>
    <row r="599" ht="15.75" customHeight="1">
      <c r="A599" s="55"/>
      <c r="C599" s="55"/>
      <c r="E599" s="54"/>
      <c r="F599" s="55"/>
      <c r="H599" s="55"/>
      <c r="J599" s="62"/>
      <c r="K599" s="55"/>
      <c r="L599" s="62"/>
      <c r="S599" s="55"/>
      <c r="Y599" s="55"/>
      <c r="Z599" s="55"/>
      <c r="AA599" s="55"/>
      <c r="AJ599" s="55"/>
    </row>
    <row r="600" ht="15.75" customHeight="1">
      <c r="A600" s="55"/>
      <c r="C600" s="55"/>
      <c r="E600" s="54"/>
      <c r="F600" s="55"/>
      <c r="H600" s="55"/>
      <c r="J600" s="62"/>
      <c r="K600" s="55"/>
      <c r="L600" s="62"/>
      <c r="S600" s="55"/>
      <c r="Y600" s="55"/>
      <c r="Z600" s="55"/>
      <c r="AA600" s="55"/>
      <c r="AJ600" s="55"/>
    </row>
    <row r="601" ht="15.75" customHeight="1">
      <c r="A601" s="55"/>
      <c r="C601" s="55"/>
      <c r="E601" s="54"/>
      <c r="F601" s="55"/>
      <c r="H601" s="55"/>
      <c r="J601" s="62"/>
      <c r="K601" s="55"/>
      <c r="L601" s="62"/>
      <c r="S601" s="55"/>
      <c r="Y601" s="55"/>
      <c r="Z601" s="55"/>
      <c r="AA601" s="55"/>
      <c r="AJ601" s="55"/>
    </row>
    <row r="602" ht="15.75" customHeight="1">
      <c r="A602" s="55"/>
      <c r="C602" s="55"/>
      <c r="E602" s="54"/>
      <c r="F602" s="55"/>
      <c r="H602" s="55"/>
      <c r="J602" s="62"/>
      <c r="K602" s="55"/>
      <c r="L602" s="62"/>
      <c r="S602" s="55"/>
      <c r="Y602" s="55"/>
      <c r="Z602" s="55"/>
      <c r="AA602" s="55"/>
      <c r="AJ602" s="55"/>
    </row>
    <row r="603" ht="15.75" customHeight="1">
      <c r="A603" s="55"/>
      <c r="C603" s="55"/>
      <c r="E603" s="54"/>
      <c r="F603" s="55"/>
      <c r="H603" s="55"/>
      <c r="J603" s="62"/>
      <c r="K603" s="55"/>
      <c r="L603" s="62"/>
      <c r="S603" s="55"/>
      <c r="Y603" s="55"/>
      <c r="Z603" s="55"/>
      <c r="AA603" s="55"/>
      <c r="AJ603" s="55"/>
    </row>
    <row r="604" ht="15.75" customHeight="1">
      <c r="A604" s="55"/>
      <c r="C604" s="55"/>
      <c r="E604" s="54"/>
      <c r="F604" s="55"/>
      <c r="H604" s="55"/>
      <c r="J604" s="62"/>
      <c r="K604" s="55"/>
      <c r="L604" s="62"/>
      <c r="S604" s="55"/>
      <c r="Y604" s="55"/>
      <c r="Z604" s="55"/>
      <c r="AA604" s="55"/>
      <c r="AJ604" s="55"/>
    </row>
    <row r="605" ht="15.75" customHeight="1">
      <c r="A605" s="55"/>
      <c r="C605" s="55"/>
      <c r="E605" s="54"/>
      <c r="F605" s="55"/>
      <c r="H605" s="55"/>
      <c r="J605" s="62"/>
      <c r="K605" s="55"/>
      <c r="L605" s="62"/>
      <c r="S605" s="55"/>
      <c r="Y605" s="55"/>
      <c r="Z605" s="55"/>
      <c r="AA605" s="55"/>
      <c r="AJ605" s="55"/>
    </row>
    <row r="606" ht="15.75" customHeight="1">
      <c r="A606" s="55"/>
      <c r="C606" s="55"/>
      <c r="E606" s="54"/>
      <c r="F606" s="55"/>
      <c r="H606" s="55"/>
      <c r="J606" s="62"/>
      <c r="K606" s="55"/>
      <c r="L606" s="62"/>
      <c r="S606" s="55"/>
      <c r="Y606" s="55"/>
      <c r="Z606" s="55"/>
      <c r="AA606" s="55"/>
      <c r="AJ606" s="55"/>
    </row>
    <row r="607" ht="15.75" customHeight="1">
      <c r="A607" s="55"/>
      <c r="C607" s="55"/>
      <c r="E607" s="54"/>
      <c r="F607" s="55"/>
      <c r="H607" s="55"/>
      <c r="J607" s="62"/>
      <c r="K607" s="55"/>
      <c r="L607" s="62"/>
      <c r="S607" s="55"/>
      <c r="Y607" s="55"/>
      <c r="Z607" s="55"/>
      <c r="AA607" s="55"/>
      <c r="AJ607" s="55"/>
    </row>
    <row r="608" ht="15.75" customHeight="1">
      <c r="A608" s="55"/>
      <c r="C608" s="55"/>
      <c r="E608" s="54"/>
      <c r="F608" s="55"/>
      <c r="H608" s="55"/>
      <c r="J608" s="62"/>
      <c r="K608" s="55"/>
      <c r="L608" s="62"/>
      <c r="S608" s="55"/>
      <c r="Y608" s="55"/>
      <c r="Z608" s="55"/>
      <c r="AA608" s="55"/>
      <c r="AJ608" s="55"/>
    </row>
    <row r="609" ht="15.75" customHeight="1">
      <c r="A609" s="55"/>
      <c r="C609" s="55"/>
      <c r="E609" s="54"/>
      <c r="F609" s="55"/>
      <c r="H609" s="55"/>
      <c r="J609" s="62"/>
      <c r="K609" s="55"/>
      <c r="L609" s="62"/>
      <c r="S609" s="55"/>
      <c r="Y609" s="55"/>
      <c r="Z609" s="55"/>
      <c r="AA609" s="55"/>
      <c r="AJ609" s="55"/>
    </row>
    <row r="610" ht="15.75" customHeight="1">
      <c r="A610" s="55"/>
      <c r="C610" s="55"/>
      <c r="E610" s="54"/>
      <c r="F610" s="55"/>
      <c r="H610" s="55"/>
      <c r="J610" s="62"/>
      <c r="K610" s="55"/>
      <c r="L610" s="62"/>
      <c r="S610" s="55"/>
      <c r="Y610" s="55"/>
      <c r="Z610" s="55"/>
      <c r="AA610" s="55"/>
      <c r="AJ610" s="55"/>
    </row>
    <row r="611" ht="15.75" customHeight="1">
      <c r="A611" s="55"/>
      <c r="C611" s="55"/>
      <c r="E611" s="54"/>
      <c r="F611" s="55"/>
      <c r="H611" s="55"/>
      <c r="J611" s="62"/>
      <c r="K611" s="55"/>
      <c r="L611" s="62"/>
      <c r="S611" s="55"/>
      <c r="Y611" s="55"/>
      <c r="Z611" s="55"/>
      <c r="AA611" s="55"/>
      <c r="AJ611" s="55"/>
    </row>
    <row r="612" ht="15.75" customHeight="1">
      <c r="A612" s="55"/>
      <c r="C612" s="55"/>
      <c r="E612" s="54"/>
      <c r="F612" s="55"/>
      <c r="H612" s="55"/>
      <c r="J612" s="62"/>
      <c r="K612" s="55"/>
      <c r="L612" s="62"/>
      <c r="S612" s="55"/>
      <c r="Y612" s="55"/>
      <c r="Z612" s="55"/>
      <c r="AA612" s="55"/>
      <c r="AJ612" s="55"/>
    </row>
    <row r="613" ht="15.75" customHeight="1">
      <c r="A613" s="55"/>
      <c r="C613" s="55"/>
      <c r="E613" s="54"/>
      <c r="F613" s="55"/>
      <c r="H613" s="55"/>
      <c r="J613" s="62"/>
      <c r="K613" s="55"/>
      <c r="L613" s="62"/>
      <c r="S613" s="55"/>
      <c r="Y613" s="55"/>
      <c r="Z613" s="55"/>
      <c r="AA613" s="55"/>
      <c r="AJ613" s="55"/>
    </row>
    <row r="614" ht="15.75" customHeight="1">
      <c r="A614" s="55"/>
      <c r="C614" s="55"/>
      <c r="E614" s="54"/>
      <c r="F614" s="55"/>
      <c r="H614" s="55"/>
      <c r="J614" s="62"/>
      <c r="K614" s="55"/>
      <c r="L614" s="62"/>
      <c r="S614" s="55"/>
      <c r="Y614" s="55"/>
      <c r="Z614" s="55"/>
      <c r="AA614" s="55"/>
      <c r="AJ614" s="55"/>
    </row>
    <row r="615" ht="15.75" customHeight="1">
      <c r="A615" s="55"/>
      <c r="C615" s="55"/>
      <c r="E615" s="54"/>
      <c r="F615" s="55"/>
      <c r="H615" s="55"/>
      <c r="J615" s="62"/>
      <c r="K615" s="55"/>
      <c r="L615" s="62"/>
      <c r="S615" s="55"/>
      <c r="Y615" s="55"/>
      <c r="Z615" s="55"/>
      <c r="AA615" s="55"/>
      <c r="AJ615" s="55"/>
    </row>
    <row r="616" ht="15.75" customHeight="1">
      <c r="A616" s="55"/>
      <c r="C616" s="55"/>
      <c r="E616" s="54"/>
      <c r="F616" s="55"/>
      <c r="H616" s="55"/>
      <c r="J616" s="62"/>
      <c r="K616" s="55"/>
      <c r="L616" s="62"/>
      <c r="S616" s="55"/>
      <c r="Y616" s="55"/>
      <c r="Z616" s="55"/>
      <c r="AA616" s="55"/>
      <c r="AJ616" s="55"/>
    </row>
    <row r="617" ht="15.75" customHeight="1">
      <c r="A617" s="55"/>
      <c r="C617" s="55"/>
      <c r="E617" s="54"/>
      <c r="F617" s="55"/>
      <c r="H617" s="55"/>
      <c r="J617" s="62"/>
      <c r="K617" s="55"/>
      <c r="L617" s="62"/>
      <c r="S617" s="55"/>
      <c r="Y617" s="55"/>
      <c r="Z617" s="55"/>
      <c r="AA617" s="55"/>
      <c r="AJ617" s="55"/>
    </row>
    <row r="618" ht="15.75" customHeight="1">
      <c r="A618" s="55"/>
      <c r="C618" s="55"/>
      <c r="E618" s="54"/>
      <c r="F618" s="55"/>
      <c r="H618" s="55"/>
      <c r="J618" s="62"/>
      <c r="K618" s="55"/>
      <c r="L618" s="62"/>
      <c r="S618" s="55"/>
      <c r="Y618" s="55"/>
      <c r="Z618" s="55"/>
      <c r="AA618" s="55"/>
      <c r="AJ618" s="55"/>
    </row>
    <row r="619" ht="15.75" customHeight="1">
      <c r="A619" s="55"/>
      <c r="C619" s="55"/>
      <c r="E619" s="54"/>
      <c r="F619" s="55"/>
      <c r="H619" s="55"/>
      <c r="J619" s="62"/>
      <c r="K619" s="55"/>
      <c r="L619" s="62"/>
      <c r="S619" s="55"/>
      <c r="Y619" s="55"/>
      <c r="Z619" s="55"/>
      <c r="AA619" s="55"/>
      <c r="AJ619" s="55"/>
    </row>
    <row r="620" ht="15.75" customHeight="1">
      <c r="A620" s="55"/>
      <c r="C620" s="55"/>
      <c r="E620" s="54"/>
      <c r="F620" s="55"/>
      <c r="H620" s="55"/>
      <c r="J620" s="62"/>
      <c r="K620" s="55"/>
      <c r="L620" s="62"/>
      <c r="S620" s="55"/>
      <c r="Y620" s="55"/>
      <c r="Z620" s="55"/>
      <c r="AA620" s="55"/>
      <c r="AJ620" s="55"/>
    </row>
    <row r="621" ht="15.75" customHeight="1">
      <c r="A621" s="55"/>
      <c r="C621" s="55"/>
      <c r="E621" s="54"/>
      <c r="F621" s="55"/>
      <c r="H621" s="55"/>
      <c r="J621" s="62"/>
      <c r="K621" s="55"/>
      <c r="L621" s="62"/>
      <c r="S621" s="55"/>
      <c r="Y621" s="55"/>
      <c r="Z621" s="55"/>
      <c r="AA621" s="55"/>
      <c r="AJ621" s="55"/>
    </row>
    <row r="622" ht="15.75" customHeight="1">
      <c r="A622" s="55"/>
      <c r="C622" s="55"/>
      <c r="E622" s="54"/>
      <c r="F622" s="55"/>
      <c r="H622" s="55"/>
      <c r="J622" s="62"/>
      <c r="K622" s="55"/>
      <c r="L622" s="62"/>
      <c r="S622" s="55"/>
      <c r="Y622" s="55"/>
      <c r="Z622" s="55"/>
      <c r="AA622" s="55"/>
      <c r="AJ622" s="55"/>
    </row>
    <row r="623" ht="15.75" customHeight="1">
      <c r="A623" s="55"/>
      <c r="C623" s="55"/>
      <c r="E623" s="54"/>
      <c r="F623" s="55"/>
      <c r="H623" s="55"/>
      <c r="J623" s="62"/>
      <c r="K623" s="55"/>
      <c r="L623" s="62"/>
      <c r="S623" s="55"/>
      <c r="Y623" s="55"/>
      <c r="Z623" s="55"/>
      <c r="AA623" s="55"/>
      <c r="AJ623" s="55"/>
    </row>
    <row r="624" ht="15.75" customHeight="1">
      <c r="A624" s="55"/>
      <c r="C624" s="55"/>
      <c r="E624" s="54"/>
      <c r="F624" s="55"/>
      <c r="H624" s="55"/>
      <c r="J624" s="62"/>
      <c r="K624" s="55"/>
      <c r="L624" s="62"/>
      <c r="S624" s="55"/>
      <c r="Y624" s="55"/>
      <c r="Z624" s="55"/>
      <c r="AA624" s="55"/>
      <c r="AJ624" s="55"/>
    </row>
    <row r="625" ht="15.75" customHeight="1">
      <c r="A625" s="55"/>
      <c r="C625" s="55"/>
      <c r="E625" s="54"/>
      <c r="F625" s="55"/>
      <c r="H625" s="55"/>
      <c r="J625" s="62"/>
      <c r="K625" s="55"/>
      <c r="L625" s="62"/>
      <c r="S625" s="55"/>
      <c r="Y625" s="55"/>
      <c r="Z625" s="55"/>
      <c r="AA625" s="55"/>
      <c r="AJ625" s="55"/>
    </row>
    <row r="626" ht="15.75" customHeight="1">
      <c r="A626" s="55"/>
      <c r="C626" s="55"/>
      <c r="E626" s="54"/>
      <c r="F626" s="55"/>
      <c r="H626" s="55"/>
      <c r="J626" s="62"/>
      <c r="K626" s="55"/>
      <c r="L626" s="62"/>
      <c r="S626" s="55"/>
      <c r="Y626" s="55"/>
      <c r="Z626" s="55"/>
      <c r="AA626" s="55"/>
      <c r="AJ626" s="55"/>
    </row>
    <row r="627" ht="15.75" customHeight="1">
      <c r="A627" s="55"/>
      <c r="C627" s="55"/>
      <c r="E627" s="54"/>
      <c r="F627" s="55"/>
      <c r="H627" s="55"/>
      <c r="J627" s="62"/>
      <c r="K627" s="55"/>
      <c r="L627" s="62"/>
      <c r="S627" s="55"/>
      <c r="Y627" s="55"/>
      <c r="Z627" s="55"/>
      <c r="AA627" s="55"/>
      <c r="AJ627" s="55"/>
    </row>
    <row r="628" ht="15.75" customHeight="1">
      <c r="A628" s="55"/>
      <c r="C628" s="55"/>
      <c r="E628" s="54"/>
      <c r="F628" s="55"/>
      <c r="H628" s="55"/>
      <c r="J628" s="62"/>
      <c r="K628" s="55"/>
      <c r="L628" s="62"/>
      <c r="S628" s="55"/>
      <c r="Y628" s="55"/>
      <c r="Z628" s="55"/>
      <c r="AA628" s="55"/>
      <c r="AJ628" s="55"/>
    </row>
    <row r="629" ht="15.75" customHeight="1">
      <c r="A629" s="55"/>
      <c r="C629" s="55"/>
      <c r="E629" s="54"/>
      <c r="F629" s="55"/>
      <c r="H629" s="55"/>
      <c r="J629" s="62"/>
      <c r="K629" s="55"/>
      <c r="L629" s="62"/>
      <c r="S629" s="55"/>
      <c r="Y629" s="55"/>
      <c r="Z629" s="55"/>
      <c r="AA629" s="55"/>
      <c r="AJ629" s="55"/>
    </row>
    <row r="630" ht="15.75" customHeight="1">
      <c r="A630" s="55"/>
      <c r="C630" s="55"/>
      <c r="E630" s="54"/>
      <c r="F630" s="55"/>
      <c r="H630" s="55"/>
      <c r="J630" s="62"/>
      <c r="K630" s="55"/>
      <c r="L630" s="62"/>
      <c r="S630" s="55"/>
      <c r="Y630" s="55"/>
      <c r="Z630" s="55"/>
      <c r="AA630" s="55"/>
      <c r="AJ630" s="55"/>
    </row>
    <row r="631" ht="15.75" customHeight="1">
      <c r="A631" s="55"/>
      <c r="C631" s="55"/>
      <c r="E631" s="54"/>
      <c r="F631" s="55"/>
      <c r="H631" s="55"/>
      <c r="J631" s="62"/>
      <c r="K631" s="55"/>
      <c r="L631" s="62"/>
      <c r="S631" s="55"/>
      <c r="Y631" s="55"/>
      <c r="Z631" s="55"/>
      <c r="AA631" s="55"/>
      <c r="AJ631" s="55"/>
    </row>
    <row r="632" ht="15.75" customHeight="1">
      <c r="A632" s="55"/>
      <c r="C632" s="55"/>
      <c r="E632" s="54"/>
      <c r="F632" s="55"/>
      <c r="H632" s="55"/>
      <c r="J632" s="62"/>
      <c r="K632" s="55"/>
      <c r="L632" s="62"/>
      <c r="S632" s="55"/>
      <c r="Y632" s="55"/>
      <c r="Z632" s="55"/>
      <c r="AA632" s="55"/>
      <c r="AJ632" s="55"/>
    </row>
    <row r="633" ht="15.75" customHeight="1">
      <c r="A633" s="55"/>
      <c r="C633" s="55"/>
      <c r="E633" s="54"/>
      <c r="F633" s="55"/>
      <c r="H633" s="55"/>
      <c r="J633" s="62"/>
      <c r="K633" s="55"/>
      <c r="L633" s="62"/>
      <c r="S633" s="55"/>
      <c r="Y633" s="55"/>
      <c r="Z633" s="55"/>
      <c r="AA633" s="55"/>
      <c r="AJ633" s="55"/>
    </row>
    <row r="634" ht="15.75" customHeight="1">
      <c r="A634" s="55"/>
      <c r="C634" s="55"/>
      <c r="E634" s="54"/>
      <c r="F634" s="55"/>
      <c r="H634" s="55"/>
      <c r="J634" s="62"/>
      <c r="K634" s="55"/>
      <c r="L634" s="62"/>
      <c r="S634" s="55"/>
      <c r="Y634" s="55"/>
      <c r="Z634" s="55"/>
      <c r="AA634" s="55"/>
      <c r="AJ634" s="55"/>
    </row>
    <row r="635" ht="15.75" customHeight="1">
      <c r="A635" s="55"/>
      <c r="C635" s="55"/>
      <c r="E635" s="54"/>
      <c r="F635" s="55"/>
      <c r="H635" s="55"/>
      <c r="J635" s="62"/>
      <c r="K635" s="55"/>
      <c r="L635" s="62"/>
      <c r="S635" s="55"/>
      <c r="Y635" s="55"/>
      <c r="Z635" s="55"/>
      <c r="AA635" s="55"/>
      <c r="AJ635" s="55"/>
    </row>
    <row r="636" ht="15.75" customHeight="1">
      <c r="A636" s="55"/>
      <c r="C636" s="55"/>
      <c r="E636" s="54"/>
      <c r="F636" s="55"/>
      <c r="H636" s="55"/>
      <c r="J636" s="62"/>
      <c r="K636" s="55"/>
      <c r="L636" s="62"/>
      <c r="S636" s="55"/>
      <c r="Y636" s="55"/>
      <c r="Z636" s="55"/>
      <c r="AA636" s="55"/>
      <c r="AJ636" s="55"/>
    </row>
    <row r="637" ht="15.75" customHeight="1">
      <c r="A637" s="55"/>
      <c r="C637" s="55"/>
      <c r="E637" s="54"/>
      <c r="F637" s="55"/>
      <c r="H637" s="55"/>
      <c r="J637" s="62"/>
      <c r="K637" s="55"/>
      <c r="L637" s="62"/>
      <c r="S637" s="55"/>
      <c r="Y637" s="55"/>
      <c r="Z637" s="55"/>
      <c r="AA637" s="55"/>
      <c r="AJ637" s="55"/>
    </row>
    <row r="638" ht="15.75" customHeight="1">
      <c r="A638" s="55"/>
      <c r="C638" s="55"/>
      <c r="E638" s="54"/>
      <c r="F638" s="55"/>
      <c r="H638" s="55"/>
      <c r="J638" s="62"/>
      <c r="K638" s="55"/>
      <c r="L638" s="62"/>
      <c r="S638" s="55"/>
      <c r="Y638" s="55"/>
      <c r="Z638" s="55"/>
      <c r="AA638" s="55"/>
      <c r="AJ638" s="55"/>
    </row>
    <row r="639" ht="15.75" customHeight="1">
      <c r="A639" s="55"/>
      <c r="C639" s="55"/>
      <c r="E639" s="54"/>
      <c r="F639" s="55"/>
      <c r="H639" s="55"/>
      <c r="J639" s="62"/>
      <c r="K639" s="55"/>
      <c r="L639" s="62"/>
      <c r="S639" s="55"/>
      <c r="Y639" s="55"/>
      <c r="Z639" s="55"/>
      <c r="AA639" s="55"/>
      <c r="AJ639" s="55"/>
    </row>
    <row r="640" ht="15.75" customHeight="1">
      <c r="A640" s="55"/>
      <c r="C640" s="55"/>
      <c r="E640" s="54"/>
      <c r="F640" s="55"/>
      <c r="H640" s="55"/>
      <c r="J640" s="62"/>
      <c r="K640" s="55"/>
      <c r="L640" s="62"/>
      <c r="S640" s="55"/>
      <c r="Y640" s="55"/>
      <c r="Z640" s="55"/>
      <c r="AA640" s="55"/>
      <c r="AJ640" s="55"/>
    </row>
    <row r="641" ht="15.75" customHeight="1">
      <c r="A641" s="55"/>
      <c r="C641" s="55"/>
      <c r="E641" s="54"/>
      <c r="F641" s="55"/>
      <c r="H641" s="55"/>
      <c r="J641" s="62"/>
      <c r="K641" s="55"/>
      <c r="L641" s="62"/>
      <c r="S641" s="55"/>
      <c r="Y641" s="55"/>
      <c r="Z641" s="55"/>
      <c r="AA641" s="55"/>
      <c r="AJ641" s="55"/>
    </row>
    <row r="642" ht="15.75" customHeight="1">
      <c r="A642" s="55"/>
      <c r="C642" s="55"/>
      <c r="E642" s="54"/>
      <c r="F642" s="55"/>
      <c r="H642" s="55"/>
      <c r="J642" s="62"/>
      <c r="K642" s="55"/>
      <c r="L642" s="62"/>
      <c r="S642" s="55"/>
      <c r="Y642" s="55"/>
      <c r="Z642" s="55"/>
      <c r="AA642" s="55"/>
      <c r="AJ642" s="55"/>
    </row>
    <row r="643" ht="15.75" customHeight="1">
      <c r="A643" s="55"/>
      <c r="C643" s="55"/>
      <c r="E643" s="54"/>
      <c r="F643" s="55"/>
      <c r="H643" s="55"/>
      <c r="J643" s="62"/>
      <c r="K643" s="55"/>
      <c r="L643" s="62"/>
      <c r="S643" s="55"/>
      <c r="Y643" s="55"/>
      <c r="Z643" s="55"/>
      <c r="AA643" s="55"/>
      <c r="AJ643" s="55"/>
    </row>
    <row r="644" ht="15.75" customHeight="1">
      <c r="A644" s="55"/>
      <c r="C644" s="55"/>
      <c r="E644" s="54"/>
      <c r="F644" s="55"/>
      <c r="H644" s="55"/>
      <c r="J644" s="62"/>
      <c r="K644" s="55"/>
      <c r="L644" s="62"/>
      <c r="S644" s="55"/>
      <c r="Y644" s="55"/>
      <c r="Z644" s="55"/>
      <c r="AA644" s="55"/>
      <c r="AJ644" s="55"/>
    </row>
    <row r="645" ht="15.75" customHeight="1">
      <c r="A645" s="55"/>
      <c r="C645" s="55"/>
      <c r="E645" s="54"/>
      <c r="F645" s="55"/>
      <c r="H645" s="55"/>
      <c r="J645" s="62"/>
      <c r="K645" s="55"/>
      <c r="L645" s="62"/>
      <c r="S645" s="55"/>
      <c r="Y645" s="55"/>
      <c r="Z645" s="55"/>
      <c r="AA645" s="55"/>
      <c r="AJ645" s="55"/>
    </row>
    <row r="646" ht="15.75" customHeight="1">
      <c r="A646" s="55"/>
      <c r="C646" s="55"/>
      <c r="E646" s="54"/>
      <c r="F646" s="55"/>
      <c r="H646" s="55"/>
      <c r="J646" s="62"/>
      <c r="K646" s="55"/>
      <c r="L646" s="62"/>
      <c r="S646" s="55"/>
      <c r="Y646" s="55"/>
      <c r="Z646" s="55"/>
      <c r="AA646" s="55"/>
      <c r="AJ646" s="55"/>
    </row>
    <row r="647" ht="15.75" customHeight="1">
      <c r="A647" s="55"/>
      <c r="C647" s="55"/>
      <c r="E647" s="54"/>
      <c r="F647" s="55"/>
      <c r="H647" s="55"/>
      <c r="J647" s="62"/>
      <c r="K647" s="55"/>
      <c r="L647" s="62"/>
      <c r="S647" s="55"/>
      <c r="Y647" s="55"/>
      <c r="Z647" s="55"/>
      <c r="AA647" s="55"/>
      <c r="AJ647" s="55"/>
    </row>
    <row r="648" ht="15.75" customHeight="1">
      <c r="A648" s="55"/>
      <c r="C648" s="55"/>
      <c r="E648" s="54"/>
      <c r="F648" s="55"/>
      <c r="H648" s="55"/>
      <c r="J648" s="62"/>
      <c r="K648" s="55"/>
      <c r="L648" s="62"/>
      <c r="S648" s="55"/>
      <c r="Y648" s="55"/>
      <c r="Z648" s="55"/>
      <c r="AA648" s="55"/>
      <c r="AJ648" s="55"/>
    </row>
    <row r="649" ht="15.75" customHeight="1">
      <c r="A649" s="55"/>
      <c r="C649" s="55"/>
      <c r="E649" s="54"/>
      <c r="F649" s="55"/>
      <c r="H649" s="55"/>
      <c r="J649" s="62"/>
      <c r="K649" s="55"/>
      <c r="L649" s="62"/>
      <c r="S649" s="55"/>
      <c r="Y649" s="55"/>
      <c r="Z649" s="55"/>
      <c r="AA649" s="55"/>
      <c r="AJ649" s="55"/>
    </row>
    <row r="650" ht="15.75" customHeight="1">
      <c r="A650" s="55"/>
      <c r="C650" s="55"/>
      <c r="E650" s="54"/>
      <c r="F650" s="55"/>
      <c r="H650" s="55"/>
      <c r="J650" s="62"/>
      <c r="K650" s="55"/>
      <c r="L650" s="62"/>
      <c r="S650" s="55"/>
      <c r="Y650" s="55"/>
      <c r="Z650" s="55"/>
      <c r="AA650" s="55"/>
      <c r="AJ650" s="55"/>
    </row>
    <row r="651" ht="15.75" customHeight="1">
      <c r="A651" s="55"/>
      <c r="C651" s="55"/>
      <c r="E651" s="54"/>
      <c r="F651" s="55"/>
      <c r="H651" s="55"/>
      <c r="J651" s="62"/>
      <c r="K651" s="55"/>
      <c r="L651" s="62"/>
      <c r="S651" s="55"/>
      <c r="Y651" s="55"/>
      <c r="Z651" s="55"/>
      <c r="AA651" s="55"/>
      <c r="AJ651" s="55"/>
    </row>
    <row r="652" ht="15.75" customHeight="1">
      <c r="A652" s="55"/>
      <c r="C652" s="55"/>
      <c r="E652" s="54"/>
      <c r="F652" s="55"/>
      <c r="H652" s="55"/>
      <c r="J652" s="62"/>
      <c r="K652" s="55"/>
      <c r="L652" s="62"/>
      <c r="S652" s="55"/>
      <c r="Y652" s="55"/>
      <c r="Z652" s="55"/>
      <c r="AA652" s="55"/>
      <c r="AJ652" s="55"/>
    </row>
    <row r="653" ht="15.75" customHeight="1">
      <c r="A653" s="55"/>
      <c r="C653" s="55"/>
      <c r="E653" s="54"/>
      <c r="F653" s="55"/>
      <c r="H653" s="55"/>
      <c r="J653" s="62"/>
      <c r="K653" s="55"/>
      <c r="L653" s="62"/>
      <c r="S653" s="55"/>
      <c r="Y653" s="55"/>
      <c r="Z653" s="55"/>
      <c r="AA653" s="55"/>
      <c r="AJ653" s="55"/>
    </row>
    <row r="654" ht="15.75" customHeight="1">
      <c r="A654" s="55"/>
      <c r="C654" s="55"/>
      <c r="E654" s="54"/>
      <c r="F654" s="55"/>
      <c r="H654" s="55"/>
      <c r="J654" s="62"/>
      <c r="K654" s="55"/>
      <c r="L654" s="62"/>
      <c r="S654" s="55"/>
      <c r="Y654" s="55"/>
      <c r="Z654" s="55"/>
      <c r="AA654" s="55"/>
      <c r="AJ654" s="55"/>
    </row>
    <row r="655" ht="15.75" customHeight="1">
      <c r="A655" s="55"/>
      <c r="C655" s="55"/>
      <c r="E655" s="54"/>
      <c r="F655" s="55"/>
      <c r="H655" s="55"/>
      <c r="J655" s="62"/>
      <c r="K655" s="55"/>
      <c r="L655" s="62"/>
      <c r="S655" s="55"/>
      <c r="Y655" s="55"/>
      <c r="Z655" s="55"/>
      <c r="AA655" s="55"/>
      <c r="AJ655" s="55"/>
    </row>
    <row r="656" ht="15.75" customHeight="1">
      <c r="A656" s="55"/>
      <c r="C656" s="55"/>
      <c r="E656" s="54"/>
      <c r="F656" s="55"/>
      <c r="H656" s="55"/>
      <c r="J656" s="62"/>
      <c r="K656" s="55"/>
      <c r="L656" s="62"/>
      <c r="S656" s="55"/>
      <c r="Y656" s="55"/>
      <c r="Z656" s="55"/>
      <c r="AA656" s="55"/>
      <c r="AJ656" s="55"/>
    </row>
    <row r="657" ht="15.75" customHeight="1">
      <c r="A657" s="55"/>
      <c r="C657" s="55"/>
      <c r="E657" s="54"/>
      <c r="F657" s="55"/>
      <c r="H657" s="55"/>
      <c r="J657" s="62"/>
      <c r="K657" s="55"/>
      <c r="L657" s="62"/>
      <c r="S657" s="55"/>
      <c r="Y657" s="55"/>
      <c r="Z657" s="55"/>
      <c r="AA657" s="55"/>
      <c r="AJ657" s="55"/>
    </row>
    <row r="658" ht="15.75" customHeight="1">
      <c r="A658" s="55"/>
      <c r="C658" s="55"/>
      <c r="E658" s="54"/>
      <c r="F658" s="55"/>
      <c r="H658" s="55"/>
      <c r="J658" s="62"/>
      <c r="K658" s="55"/>
      <c r="L658" s="62"/>
      <c r="S658" s="55"/>
      <c r="Y658" s="55"/>
      <c r="Z658" s="55"/>
      <c r="AA658" s="55"/>
      <c r="AJ658" s="55"/>
    </row>
    <row r="659" ht="15.75" customHeight="1">
      <c r="A659" s="55"/>
      <c r="C659" s="55"/>
      <c r="E659" s="54"/>
      <c r="F659" s="55"/>
      <c r="H659" s="55"/>
      <c r="J659" s="62"/>
      <c r="K659" s="55"/>
      <c r="L659" s="62"/>
      <c r="S659" s="55"/>
      <c r="Y659" s="55"/>
      <c r="Z659" s="55"/>
      <c r="AA659" s="55"/>
      <c r="AJ659" s="55"/>
    </row>
    <row r="660" ht="15.75" customHeight="1">
      <c r="A660" s="55"/>
      <c r="C660" s="55"/>
      <c r="E660" s="54"/>
      <c r="F660" s="55"/>
      <c r="H660" s="55"/>
      <c r="J660" s="62"/>
      <c r="K660" s="55"/>
      <c r="L660" s="62"/>
      <c r="S660" s="55"/>
      <c r="Y660" s="55"/>
      <c r="Z660" s="55"/>
      <c r="AA660" s="55"/>
      <c r="AJ660" s="55"/>
    </row>
    <row r="661" ht="15.75" customHeight="1">
      <c r="A661" s="55"/>
      <c r="C661" s="55"/>
      <c r="E661" s="54"/>
      <c r="F661" s="55"/>
      <c r="H661" s="55"/>
      <c r="J661" s="62"/>
      <c r="K661" s="55"/>
      <c r="L661" s="62"/>
      <c r="S661" s="55"/>
      <c r="Y661" s="55"/>
      <c r="Z661" s="55"/>
      <c r="AA661" s="55"/>
      <c r="AJ661" s="55"/>
    </row>
    <row r="662" ht="15.75" customHeight="1">
      <c r="A662" s="55"/>
      <c r="C662" s="55"/>
      <c r="E662" s="54"/>
      <c r="F662" s="55"/>
      <c r="H662" s="55"/>
      <c r="J662" s="62"/>
      <c r="K662" s="55"/>
      <c r="L662" s="62"/>
      <c r="S662" s="55"/>
      <c r="Y662" s="55"/>
      <c r="Z662" s="55"/>
      <c r="AA662" s="55"/>
      <c r="AJ662" s="55"/>
    </row>
    <row r="663" ht="15.75" customHeight="1">
      <c r="A663" s="55"/>
      <c r="C663" s="55"/>
      <c r="E663" s="54"/>
      <c r="F663" s="55"/>
      <c r="H663" s="55"/>
      <c r="J663" s="62"/>
      <c r="K663" s="55"/>
      <c r="L663" s="62"/>
      <c r="S663" s="55"/>
      <c r="Y663" s="55"/>
      <c r="Z663" s="55"/>
      <c r="AA663" s="55"/>
      <c r="AJ663" s="55"/>
    </row>
    <row r="664" ht="15.75" customHeight="1">
      <c r="A664" s="55"/>
      <c r="C664" s="55"/>
      <c r="E664" s="54"/>
      <c r="F664" s="55"/>
      <c r="H664" s="55"/>
      <c r="J664" s="62"/>
      <c r="K664" s="55"/>
      <c r="L664" s="62"/>
      <c r="S664" s="55"/>
      <c r="Y664" s="55"/>
      <c r="Z664" s="55"/>
      <c r="AA664" s="55"/>
      <c r="AJ664" s="55"/>
    </row>
    <row r="665" ht="15.75" customHeight="1">
      <c r="A665" s="55"/>
      <c r="C665" s="55"/>
      <c r="E665" s="54"/>
      <c r="F665" s="55"/>
      <c r="H665" s="55"/>
      <c r="J665" s="62"/>
      <c r="K665" s="55"/>
      <c r="L665" s="62"/>
      <c r="S665" s="55"/>
      <c r="Y665" s="55"/>
      <c r="Z665" s="55"/>
      <c r="AA665" s="55"/>
      <c r="AJ665" s="55"/>
    </row>
    <row r="666" ht="15.75" customHeight="1">
      <c r="A666" s="55"/>
      <c r="C666" s="55"/>
      <c r="E666" s="54"/>
      <c r="F666" s="55"/>
      <c r="H666" s="55"/>
      <c r="J666" s="62"/>
      <c r="K666" s="55"/>
      <c r="L666" s="62"/>
      <c r="S666" s="55"/>
      <c r="Y666" s="55"/>
      <c r="Z666" s="55"/>
      <c r="AA666" s="55"/>
      <c r="AJ666" s="55"/>
    </row>
    <row r="667" ht="15.75" customHeight="1">
      <c r="A667" s="55"/>
      <c r="C667" s="55"/>
      <c r="E667" s="54"/>
      <c r="F667" s="55"/>
      <c r="H667" s="55"/>
      <c r="J667" s="62"/>
      <c r="K667" s="55"/>
      <c r="L667" s="62"/>
      <c r="S667" s="55"/>
      <c r="Y667" s="55"/>
      <c r="Z667" s="55"/>
      <c r="AA667" s="55"/>
      <c r="AJ667" s="55"/>
    </row>
    <row r="668" ht="15.75" customHeight="1">
      <c r="A668" s="55"/>
      <c r="C668" s="55"/>
      <c r="E668" s="54"/>
      <c r="F668" s="55"/>
      <c r="H668" s="55"/>
      <c r="J668" s="62"/>
      <c r="K668" s="55"/>
      <c r="L668" s="62"/>
      <c r="S668" s="55"/>
      <c r="Y668" s="55"/>
      <c r="Z668" s="55"/>
      <c r="AA668" s="55"/>
      <c r="AJ668" s="55"/>
    </row>
    <row r="669" ht="15.75" customHeight="1">
      <c r="A669" s="55"/>
      <c r="C669" s="55"/>
      <c r="E669" s="54"/>
      <c r="F669" s="55"/>
      <c r="H669" s="55"/>
      <c r="J669" s="62"/>
      <c r="K669" s="55"/>
      <c r="L669" s="62"/>
      <c r="S669" s="55"/>
      <c r="Y669" s="55"/>
      <c r="Z669" s="55"/>
      <c r="AA669" s="55"/>
      <c r="AJ669" s="55"/>
    </row>
    <row r="670" ht="15.75" customHeight="1">
      <c r="A670" s="55"/>
      <c r="C670" s="55"/>
      <c r="E670" s="54"/>
      <c r="F670" s="55"/>
      <c r="H670" s="55"/>
      <c r="J670" s="62"/>
      <c r="K670" s="55"/>
      <c r="L670" s="62"/>
      <c r="S670" s="55"/>
      <c r="Y670" s="55"/>
      <c r="Z670" s="55"/>
      <c r="AA670" s="55"/>
      <c r="AJ670" s="55"/>
    </row>
    <row r="671" ht="15.75" customHeight="1">
      <c r="A671" s="55"/>
      <c r="C671" s="55"/>
      <c r="E671" s="54"/>
      <c r="F671" s="55"/>
      <c r="H671" s="55"/>
      <c r="J671" s="62"/>
      <c r="K671" s="55"/>
      <c r="L671" s="62"/>
      <c r="S671" s="55"/>
      <c r="Y671" s="55"/>
      <c r="Z671" s="55"/>
      <c r="AA671" s="55"/>
      <c r="AJ671" s="55"/>
    </row>
    <row r="672" ht="15.75" customHeight="1">
      <c r="A672" s="55"/>
      <c r="C672" s="55"/>
      <c r="E672" s="54"/>
      <c r="F672" s="55"/>
      <c r="H672" s="55"/>
      <c r="J672" s="62"/>
      <c r="K672" s="55"/>
      <c r="L672" s="62"/>
      <c r="S672" s="55"/>
      <c r="Y672" s="55"/>
      <c r="Z672" s="55"/>
      <c r="AA672" s="55"/>
      <c r="AJ672" s="55"/>
    </row>
    <row r="673" ht="15.75" customHeight="1">
      <c r="A673" s="55"/>
      <c r="C673" s="55"/>
      <c r="E673" s="54"/>
      <c r="F673" s="55"/>
      <c r="H673" s="55"/>
      <c r="J673" s="62"/>
      <c r="K673" s="55"/>
      <c r="L673" s="62"/>
      <c r="S673" s="55"/>
      <c r="Y673" s="55"/>
      <c r="Z673" s="55"/>
      <c r="AA673" s="55"/>
      <c r="AJ673" s="55"/>
    </row>
    <row r="674" ht="15.75" customHeight="1">
      <c r="A674" s="55"/>
      <c r="C674" s="55"/>
      <c r="E674" s="54"/>
      <c r="F674" s="55"/>
      <c r="H674" s="55"/>
      <c r="J674" s="62"/>
      <c r="K674" s="55"/>
      <c r="L674" s="62"/>
      <c r="S674" s="55"/>
      <c r="Y674" s="55"/>
      <c r="Z674" s="55"/>
      <c r="AA674" s="55"/>
      <c r="AJ674" s="55"/>
    </row>
    <row r="675" ht="15.75" customHeight="1">
      <c r="A675" s="55"/>
      <c r="C675" s="55"/>
      <c r="E675" s="54"/>
      <c r="F675" s="55"/>
      <c r="H675" s="55"/>
      <c r="J675" s="62"/>
      <c r="K675" s="55"/>
      <c r="L675" s="62"/>
      <c r="S675" s="55"/>
      <c r="Y675" s="55"/>
      <c r="Z675" s="55"/>
      <c r="AA675" s="55"/>
      <c r="AJ675" s="55"/>
    </row>
    <row r="676" ht="15.75" customHeight="1">
      <c r="A676" s="55"/>
      <c r="C676" s="55"/>
      <c r="E676" s="54"/>
      <c r="F676" s="55"/>
      <c r="H676" s="55"/>
      <c r="J676" s="62"/>
      <c r="K676" s="55"/>
      <c r="L676" s="62"/>
      <c r="S676" s="55"/>
      <c r="Y676" s="55"/>
      <c r="Z676" s="55"/>
      <c r="AA676" s="55"/>
      <c r="AJ676" s="55"/>
    </row>
    <row r="677" ht="15.75" customHeight="1">
      <c r="A677" s="55"/>
      <c r="C677" s="55"/>
      <c r="E677" s="54"/>
      <c r="F677" s="55"/>
      <c r="H677" s="55"/>
      <c r="J677" s="62"/>
      <c r="K677" s="55"/>
      <c r="L677" s="62"/>
      <c r="S677" s="55"/>
      <c r="Y677" s="55"/>
      <c r="Z677" s="55"/>
      <c r="AA677" s="55"/>
      <c r="AJ677" s="55"/>
    </row>
    <row r="678" ht="15.75" customHeight="1">
      <c r="A678" s="55"/>
      <c r="C678" s="55"/>
      <c r="E678" s="54"/>
      <c r="F678" s="55"/>
      <c r="H678" s="55"/>
      <c r="J678" s="62"/>
      <c r="K678" s="55"/>
      <c r="L678" s="62"/>
      <c r="S678" s="55"/>
      <c r="Y678" s="55"/>
      <c r="Z678" s="55"/>
      <c r="AA678" s="55"/>
      <c r="AJ678" s="55"/>
    </row>
    <row r="679" ht="15.75" customHeight="1">
      <c r="A679" s="55"/>
      <c r="C679" s="55"/>
      <c r="E679" s="54"/>
      <c r="F679" s="55"/>
      <c r="H679" s="55"/>
      <c r="J679" s="62"/>
      <c r="K679" s="55"/>
      <c r="L679" s="62"/>
      <c r="S679" s="55"/>
      <c r="Y679" s="55"/>
      <c r="Z679" s="55"/>
      <c r="AA679" s="55"/>
      <c r="AJ679" s="55"/>
    </row>
    <row r="680" ht="15.75" customHeight="1">
      <c r="A680" s="55"/>
      <c r="C680" s="55"/>
      <c r="E680" s="54"/>
      <c r="F680" s="55"/>
      <c r="H680" s="55"/>
      <c r="J680" s="62"/>
      <c r="K680" s="55"/>
      <c r="L680" s="62"/>
      <c r="S680" s="55"/>
      <c r="Y680" s="55"/>
      <c r="Z680" s="55"/>
      <c r="AA680" s="55"/>
      <c r="AJ680" s="55"/>
    </row>
    <row r="681" ht="15.75" customHeight="1">
      <c r="A681" s="55"/>
      <c r="C681" s="55"/>
      <c r="E681" s="54"/>
      <c r="F681" s="55"/>
      <c r="H681" s="55"/>
      <c r="J681" s="62"/>
      <c r="K681" s="55"/>
      <c r="L681" s="62"/>
      <c r="S681" s="55"/>
      <c r="Y681" s="55"/>
      <c r="Z681" s="55"/>
      <c r="AA681" s="55"/>
      <c r="AJ681" s="55"/>
    </row>
    <row r="682" ht="15.75" customHeight="1">
      <c r="A682" s="55"/>
      <c r="C682" s="55"/>
      <c r="E682" s="54"/>
      <c r="F682" s="55"/>
      <c r="H682" s="55"/>
      <c r="J682" s="62"/>
      <c r="K682" s="55"/>
      <c r="L682" s="62"/>
      <c r="S682" s="55"/>
      <c r="Y682" s="55"/>
      <c r="Z682" s="55"/>
      <c r="AA682" s="55"/>
      <c r="AJ682" s="55"/>
    </row>
    <row r="683" ht="15.75" customHeight="1">
      <c r="A683" s="55"/>
      <c r="C683" s="55"/>
      <c r="E683" s="54"/>
      <c r="F683" s="55"/>
      <c r="H683" s="55"/>
      <c r="J683" s="62"/>
      <c r="K683" s="55"/>
      <c r="L683" s="62"/>
      <c r="S683" s="55"/>
      <c r="Y683" s="55"/>
      <c r="Z683" s="55"/>
      <c r="AA683" s="55"/>
      <c r="AJ683" s="55"/>
    </row>
    <row r="684" ht="15.75" customHeight="1">
      <c r="A684" s="55"/>
      <c r="C684" s="55"/>
      <c r="E684" s="54"/>
      <c r="F684" s="55"/>
      <c r="H684" s="55"/>
      <c r="J684" s="62"/>
      <c r="K684" s="55"/>
      <c r="L684" s="62"/>
      <c r="S684" s="55"/>
      <c r="Y684" s="55"/>
      <c r="Z684" s="55"/>
      <c r="AA684" s="55"/>
      <c r="AJ684" s="55"/>
    </row>
    <row r="685" ht="15.75" customHeight="1">
      <c r="A685" s="55"/>
      <c r="C685" s="55"/>
      <c r="E685" s="54"/>
      <c r="F685" s="55"/>
      <c r="H685" s="55"/>
      <c r="J685" s="62"/>
      <c r="K685" s="55"/>
      <c r="L685" s="62"/>
      <c r="S685" s="55"/>
      <c r="Y685" s="55"/>
      <c r="Z685" s="55"/>
      <c r="AA685" s="55"/>
      <c r="AJ685" s="55"/>
    </row>
    <row r="686" ht="15.75" customHeight="1">
      <c r="A686" s="55"/>
      <c r="C686" s="55"/>
      <c r="E686" s="54"/>
      <c r="F686" s="55"/>
      <c r="H686" s="55"/>
      <c r="J686" s="62"/>
      <c r="K686" s="55"/>
      <c r="L686" s="62"/>
      <c r="S686" s="55"/>
      <c r="Y686" s="55"/>
      <c r="Z686" s="55"/>
      <c r="AA686" s="55"/>
      <c r="AJ686" s="55"/>
    </row>
    <row r="687" ht="15.75" customHeight="1">
      <c r="A687" s="55"/>
      <c r="C687" s="55"/>
      <c r="E687" s="54"/>
      <c r="F687" s="55"/>
      <c r="H687" s="55"/>
      <c r="J687" s="62"/>
      <c r="K687" s="55"/>
      <c r="L687" s="62"/>
      <c r="S687" s="55"/>
      <c r="Y687" s="55"/>
      <c r="Z687" s="55"/>
      <c r="AA687" s="55"/>
      <c r="AJ687" s="55"/>
    </row>
    <row r="688" ht="15.75" customHeight="1">
      <c r="A688" s="55"/>
      <c r="C688" s="55"/>
      <c r="E688" s="54"/>
      <c r="F688" s="55"/>
      <c r="H688" s="55"/>
      <c r="J688" s="62"/>
      <c r="K688" s="55"/>
      <c r="L688" s="62"/>
      <c r="S688" s="55"/>
      <c r="Y688" s="55"/>
      <c r="Z688" s="55"/>
      <c r="AA688" s="55"/>
      <c r="AJ688" s="55"/>
    </row>
    <row r="689" ht="15.75" customHeight="1">
      <c r="A689" s="55"/>
      <c r="C689" s="55"/>
      <c r="E689" s="54"/>
      <c r="F689" s="55"/>
      <c r="H689" s="55"/>
      <c r="J689" s="62"/>
      <c r="K689" s="55"/>
      <c r="L689" s="62"/>
      <c r="S689" s="55"/>
      <c r="Y689" s="55"/>
      <c r="Z689" s="55"/>
      <c r="AA689" s="55"/>
      <c r="AJ689" s="55"/>
    </row>
    <row r="690" ht="15.75" customHeight="1">
      <c r="A690" s="55"/>
      <c r="C690" s="55"/>
      <c r="E690" s="54"/>
      <c r="F690" s="55"/>
      <c r="H690" s="55"/>
      <c r="J690" s="62"/>
      <c r="K690" s="55"/>
      <c r="L690" s="62"/>
      <c r="S690" s="55"/>
      <c r="Y690" s="55"/>
      <c r="Z690" s="55"/>
      <c r="AA690" s="55"/>
      <c r="AJ690" s="55"/>
    </row>
    <row r="691" ht="15.75" customHeight="1">
      <c r="A691" s="55"/>
      <c r="C691" s="55"/>
      <c r="E691" s="54"/>
      <c r="F691" s="55"/>
      <c r="H691" s="55"/>
      <c r="J691" s="62"/>
      <c r="K691" s="55"/>
      <c r="L691" s="62"/>
      <c r="S691" s="55"/>
      <c r="Y691" s="55"/>
      <c r="Z691" s="55"/>
      <c r="AA691" s="55"/>
      <c r="AJ691" s="55"/>
    </row>
    <row r="692" ht="15.75" customHeight="1">
      <c r="A692" s="55"/>
      <c r="C692" s="55"/>
      <c r="E692" s="54"/>
      <c r="F692" s="55"/>
      <c r="H692" s="55"/>
      <c r="J692" s="62"/>
      <c r="K692" s="55"/>
      <c r="L692" s="62"/>
      <c r="S692" s="55"/>
      <c r="Y692" s="55"/>
      <c r="Z692" s="55"/>
      <c r="AA692" s="55"/>
      <c r="AJ692" s="55"/>
    </row>
    <row r="693" ht="15.75" customHeight="1">
      <c r="A693" s="55"/>
      <c r="C693" s="55"/>
      <c r="E693" s="54"/>
      <c r="F693" s="55"/>
      <c r="H693" s="55"/>
      <c r="J693" s="62"/>
      <c r="K693" s="55"/>
      <c r="L693" s="62"/>
      <c r="S693" s="55"/>
      <c r="Y693" s="55"/>
      <c r="Z693" s="55"/>
      <c r="AA693" s="55"/>
      <c r="AJ693" s="55"/>
    </row>
    <row r="694" ht="15.75" customHeight="1">
      <c r="A694" s="55"/>
      <c r="C694" s="55"/>
      <c r="E694" s="54"/>
      <c r="F694" s="55"/>
      <c r="H694" s="55"/>
      <c r="J694" s="62"/>
      <c r="K694" s="55"/>
      <c r="L694" s="62"/>
      <c r="S694" s="55"/>
      <c r="Y694" s="55"/>
      <c r="Z694" s="55"/>
      <c r="AA694" s="55"/>
      <c r="AJ694" s="55"/>
    </row>
    <row r="695" ht="15.75" customHeight="1">
      <c r="A695" s="55"/>
      <c r="C695" s="55"/>
      <c r="E695" s="54"/>
      <c r="F695" s="55"/>
      <c r="H695" s="55"/>
      <c r="J695" s="62"/>
      <c r="K695" s="55"/>
      <c r="L695" s="62"/>
      <c r="S695" s="55"/>
      <c r="Y695" s="55"/>
      <c r="Z695" s="55"/>
      <c r="AA695" s="55"/>
      <c r="AJ695" s="55"/>
    </row>
    <row r="696" ht="15.75" customHeight="1">
      <c r="A696" s="55"/>
      <c r="C696" s="55"/>
      <c r="E696" s="54"/>
      <c r="F696" s="55"/>
      <c r="H696" s="55"/>
      <c r="J696" s="62"/>
      <c r="K696" s="55"/>
      <c r="L696" s="62"/>
      <c r="S696" s="55"/>
      <c r="Y696" s="55"/>
      <c r="Z696" s="55"/>
      <c r="AA696" s="55"/>
      <c r="AJ696" s="55"/>
    </row>
    <row r="697" ht="15.75" customHeight="1">
      <c r="A697" s="55"/>
      <c r="C697" s="55"/>
      <c r="E697" s="54"/>
      <c r="F697" s="55"/>
      <c r="H697" s="55"/>
      <c r="J697" s="62"/>
      <c r="K697" s="55"/>
      <c r="L697" s="62"/>
      <c r="S697" s="55"/>
      <c r="Y697" s="55"/>
      <c r="Z697" s="55"/>
      <c r="AA697" s="55"/>
      <c r="AJ697" s="55"/>
    </row>
    <row r="698" ht="15.75" customHeight="1">
      <c r="A698" s="55"/>
      <c r="C698" s="55"/>
      <c r="E698" s="54"/>
      <c r="F698" s="55"/>
      <c r="H698" s="55"/>
      <c r="J698" s="62"/>
      <c r="K698" s="55"/>
      <c r="L698" s="62"/>
      <c r="S698" s="55"/>
      <c r="Y698" s="55"/>
      <c r="Z698" s="55"/>
      <c r="AA698" s="55"/>
      <c r="AJ698" s="55"/>
    </row>
    <row r="699" ht="15.75" customHeight="1">
      <c r="A699" s="55"/>
      <c r="C699" s="55"/>
      <c r="E699" s="54"/>
      <c r="F699" s="55"/>
      <c r="H699" s="55"/>
      <c r="J699" s="62"/>
      <c r="K699" s="55"/>
      <c r="L699" s="62"/>
      <c r="S699" s="55"/>
      <c r="Y699" s="55"/>
      <c r="Z699" s="55"/>
      <c r="AA699" s="55"/>
      <c r="AJ699" s="55"/>
    </row>
    <row r="700" ht="15.75" customHeight="1">
      <c r="A700" s="55"/>
      <c r="C700" s="55"/>
      <c r="E700" s="54"/>
      <c r="F700" s="55"/>
      <c r="H700" s="55"/>
      <c r="J700" s="62"/>
      <c r="K700" s="55"/>
      <c r="L700" s="62"/>
      <c r="S700" s="55"/>
      <c r="Y700" s="55"/>
      <c r="Z700" s="55"/>
      <c r="AA700" s="55"/>
      <c r="AJ700" s="55"/>
    </row>
    <row r="701" ht="15.75" customHeight="1">
      <c r="A701" s="55"/>
      <c r="C701" s="55"/>
      <c r="E701" s="54"/>
      <c r="F701" s="55"/>
      <c r="H701" s="55"/>
      <c r="J701" s="62"/>
      <c r="K701" s="55"/>
      <c r="L701" s="62"/>
      <c r="S701" s="55"/>
      <c r="Y701" s="55"/>
      <c r="Z701" s="55"/>
      <c r="AA701" s="55"/>
      <c r="AJ701" s="55"/>
    </row>
    <row r="702" ht="15.75" customHeight="1">
      <c r="A702" s="55"/>
      <c r="C702" s="55"/>
      <c r="E702" s="54"/>
      <c r="F702" s="55"/>
      <c r="H702" s="55"/>
      <c r="J702" s="62"/>
      <c r="K702" s="55"/>
      <c r="L702" s="62"/>
      <c r="S702" s="55"/>
      <c r="Y702" s="55"/>
      <c r="Z702" s="55"/>
      <c r="AA702" s="55"/>
      <c r="AJ702" s="55"/>
    </row>
    <row r="703" ht="15.75" customHeight="1">
      <c r="A703" s="55"/>
      <c r="C703" s="55"/>
      <c r="E703" s="54"/>
      <c r="F703" s="55"/>
      <c r="H703" s="55"/>
      <c r="J703" s="62"/>
      <c r="K703" s="55"/>
      <c r="L703" s="62"/>
      <c r="S703" s="55"/>
      <c r="Y703" s="55"/>
      <c r="Z703" s="55"/>
      <c r="AA703" s="55"/>
      <c r="AJ703" s="55"/>
    </row>
    <row r="704" ht="15.75" customHeight="1">
      <c r="A704" s="55"/>
      <c r="C704" s="55"/>
      <c r="E704" s="54"/>
      <c r="F704" s="55"/>
      <c r="H704" s="55"/>
      <c r="J704" s="62"/>
      <c r="K704" s="55"/>
      <c r="L704" s="62"/>
      <c r="S704" s="55"/>
      <c r="Y704" s="55"/>
      <c r="Z704" s="55"/>
      <c r="AA704" s="55"/>
      <c r="AJ704" s="55"/>
    </row>
    <row r="705" ht="15.75" customHeight="1">
      <c r="A705" s="55"/>
      <c r="C705" s="55"/>
      <c r="E705" s="54"/>
      <c r="F705" s="55"/>
      <c r="H705" s="55"/>
      <c r="J705" s="62"/>
      <c r="K705" s="55"/>
      <c r="L705" s="62"/>
      <c r="S705" s="55"/>
      <c r="Y705" s="55"/>
      <c r="Z705" s="55"/>
      <c r="AA705" s="55"/>
      <c r="AJ705" s="55"/>
    </row>
    <row r="706" ht="15.75" customHeight="1">
      <c r="A706" s="55"/>
      <c r="C706" s="55"/>
      <c r="E706" s="54"/>
      <c r="F706" s="55"/>
      <c r="H706" s="55"/>
      <c r="J706" s="62"/>
      <c r="K706" s="55"/>
      <c r="L706" s="62"/>
      <c r="S706" s="55"/>
      <c r="Y706" s="55"/>
      <c r="Z706" s="55"/>
      <c r="AA706" s="55"/>
      <c r="AJ706" s="55"/>
    </row>
    <row r="707" ht="15.75" customHeight="1">
      <c r="A707" s="55"/>
      <c r="C707" s="55"/>
      <c r="E707" s="54"/>
      <c r="F707" s="55"/>
      <c r="H707" s="55"/>
      <c r="J707" s="62"/>
      <c r="K707" s="55"/>
      <c r="L707" s="62"/>
      <c r="S707" s="55"/>
      <c r="Y707" s="55"/>
      <c r="Z707" s="55"/>
      <c r="AA707" s="55"/>
      <c r="AJ707" s="55"/>
    </row>
    <row r="708" ht="15.75" customHeight="1">
      <c r="A708" s="55"/>
      <c r="C708" s="55"/>
      <c r="E708" s="54"/>
      <c r="F708" s="55"/>
      <c r="H708" s="55"/>
      <c r="J708" s="62"/>
      <c r="K708" s="55"/>
      <c r="L708" s="62"/>
      <c r="S708" s="55"/>
      <c r="Y708" s="55"/>
      <c r="Z708" s="55"/>
      <c r="AA708" s="55"/>
      <c r="AJ708" s="55"/>
    </row>
    <row r="709" ht="15.75" customHeight="1">
      <c r="A709" s="55"/>
      <c r="C709" s="55"/>
      <c r="E709" s="54"/>
      <c r="F709" s="55"/>
      <c r="H709" s="55"/>
      <c r="J709" s="62"/>
      <c r="K709" s="55"/>
      <c r="L709" s="62"/>
      <c r="S709" s="55"/>
      <c r="Y709" s="55"/>
      <c r="Z709" s="55"/>
      <c r="AA709" s="55"/>
      <c r="AJ709" s="55"/>
    </row>
    <row r="710" ht="15.75" customHeight="1">
      <c r="A710" s="55"/>
      <c r="C710" s="55"/>
      <c r="E710" s="54"/>
      <c r="F710" s="55"/>
      <c r="H710" s="55"/>
      <c r="J710" s="62"/>
      <c r="K710" s="55"/>
      <c r="L710" s="62"/>
      <c r="S710" s="55"/>
      <c r="Y710" s="55"/>
      <c r="Z710" s="55"/>
      <c r="AA710" s="55"/>
      <c r="AJ710" s="55"/>
    </row>
    <row r="711" ht="15.75" customHeight="1">
      <c r="A711" s="55"/>
      <c r="C711" s="55"/>
      <c r="E711" s="54"/>
      <c r="F711" s="55"/>
      <c r="H711" s="55"/>
      <c r="J711" s="62"/>
      <c r="K711" s="55"/>
      <c r="L711" s="62"/>
      <c r="S711" s="55"/>
      <c r="Y711" s="55"/>
      <c r="Z711" s="55"/>
      <c r="AA711" s="55"/>
      <c r="AJ711" s="55"/>
    </row>
    <row r="712" ht="15.75" customHeight="1">
      <c r="A712" s="55"/>
      <c r="C712" s="55"/>
      <c r="E712" s="54"/>
      <c r="F712" s="55"/>
      <c r="H712" s="55"/>
      <c r="J712" s="62"/>
      <c r="K712" s="55"/>
      <c r="L712" s="62"/>
      <c r="S712" s="55"/>
      <c r="Y712" s="55"/>
      <c r="Z712" s="55"/>
      <c r="AA712" s="55"/>
      <c r="AJ712" s="55"/>
    </row>
    <row r="713" ht="15.75" customHeight="1">
      <c r="A713" s="55"/>
      <c r="C713" s="55"/>
      <c r="E713" s="54"/>
      <c r="F713" s="55"/>
      <c r="H713" s="55"/>
      <c r="J713" s="62"/>
      <c r="K713" s="55"/>
      <c r="L713" s="62"/>
      <c r="S713" s="55"/>
      <c r="Y713" s="55"/>
      <c r="Z713" s="55"/>
      <c r="AA713" s="55"/>
      <c r="AJ713" s="55"/>
    </row>
    <row r="714" ht="15.75" customHeight="1">
      <c r="A714" s="55"/>
      <c r="C714" s="55"/>
      <c r="E714" s="54"/>
      <c r="F714" s="55"/>
      <c r="H714" s="55"/>
      <c r="J714" s="62"/>
      <c r="K714" s="55"/>
      <c r="L714" s="62"/>
      <c r="S714" s="55"/>
      <c r="Y714" s="55"/>
      <c r="Z714" s="55"/>
      <c r="AA714" s="55"/>
      <c r="AJ714" s="55"/>
    </row>
    <row r="715" ht="15.75" customHeight="1">
      <c r="A715" s="55"/>
      <c r="C715" s="55"/>
      <c r="E715" s="54"/>
      <c r="F715" s="55"/>
      <c r="H715" s="55"/>
      <c r="J715" s="62"/>
      <c r="K715" s="55"/>
      <c r="L715" s="62"/>
      <c r="S715" s="55"/>
      <c r="Y715" s="55"/>
      <c r="Z715" s="55"/>
      <c r="AA715" s="55"/>
      <c r="AJ715" s="55"/>
    </row>
    <row r="716" ht="15.75" customHeight="1">
      <c r="A716" s="55"/>
      <c r="C716" s="55"/>
      <c r="E716" s="54"/>
      <c r="F716" s="55"/>
      <c r="H716" s="55"/>
      <c r="J716" s="62"/>
      <c r="K716" s="55"/>
      <c r="L716" s="62"/>
      <c r="S716" s="55"/>
      <c r="Y716" s="55"/>
      <c r="Z716" s="55"/>
      <c r="AA716" s="55"/>
      <c r="AJ716" s="55"/>
    </row>
    <row r="717" ht="15.75" customHeight="1">
      <c r="A717" s="55"/>
      <c r="C717" s="55"/>
      <c r="E717" s="54"/>
      <c r="F717" s="55"/>
      <c r="H717" s="55"/>
      <c r="J717" s="62"/>
      <c r="K717" s="55"/>
      <c r="L717" s="62"/>
      <c r="S717" s="55"/>
      <c r="Y717" s="55"/>
      <c r="Z717" s="55"/>
      <c r="AA717" s="55"/>
      <c r="AJ717" s="55"/>
    </row>
    <row r="718" ht="15.75" customHeight="1">
      <c r="A718" s="55"/>
      <c r="C718" s="55"/>
      <c r="E718" s="54"/>
      <c r="F718" s="55"/>
      <c r="H718" s="55"/>
      <c r="J718" s="62"/>
      <c r="K718" s="55"/>
      <c r="L718" s="62"/>
      <c r="S718" s="55"/>
      <c r="Y718" s="55"/>
      <c r="Z718" s="55"/>
      <c r="AA718" s="55"/>
      <c r="AJ718" s="55"/>
    </row>
    <row r="719" ht="15.75" customHeight="1">
      <c r="A719" s="55"/>
      <c r="C719" s="55"/>
      <c r="E719" s="54"/>
      <c r="F719" s="55"/>
      <c r="H719" s="55"/>
      <c r="J719" s="62"/>
      <c r="K719" s="55"/>
      <c r="L719" s="62"/>
      <c r="S719" s="55"/>
      <c r="Y719" s="55"/>
      <c r="Z719" s="55"/>
      <c r="AA719" s="55"/>
      <c r="AJ719" s="55"/>
    </row>
    <row r="720" ht="15.75" customHeight="1">
      <c r="A720" s="55"/>
      <c r="C720" s="55"/>
      <c r="E720" s="54"/>
      <c r="F720" s="55"/>
      <c r="H720" s="55"/>
      <c r="J720" s="62"/>
      <c r="K720" s="55"/>
      <c r="L720" s="62"/>
      <c r="S720" s="55"/>
      <c r="Y720" s="55"/>
      <c r="Z720" s="55"/>
      <c r="AA720" s="55"/>
      <c r="AJ720" s="55"/>
    </row>
    <row r="721" ht="15.75" customHeight="1">
      <c r="A721" s="55"/>
      <c r="C721" s="55"/>
      <c r="E721" s="54"/>
      <c r="F721" s="55"/>
      <c r="H721" s="55"/>
      <c r="J721" s="62"/>
      <c r="K721" s="55"/>
      <c r="L721" s="62"/>
      <c r="S721" s="55"/>
      <c r="Y721" s="55"/>
      <c r="Z721" s="55"/>
      <c r="AA721" s="55"/>
      <c r="AJ721" s="55"/>
    </row>
    <row r="722" ht="15.75" customHeight="1">
      <c r="A722" s="55"/>
      <c r="C722" s="55"/>
      <c r="E722" s="54"/>
      <c r="F722" s="55"/>
      <c r="H722" s="55"/>
      <c r="J722" s="62"/>
      <c r="K722" s="55"/>
      <c r="L722" s="62"/>
      <c r="S722" s="55"/>
      <c r="Y722" s="55"/>
      <c r="Z722" s="55"/>
      <c r="AA722" s="55"/>
      <c r="AJ722" s="55"/>
    </row>
    <row r="723" ht="15.75" customHeight="1">
      <c r="A723" s="55"/>
      <c r="C723" s="55"/>
      <c r="E723" s="54"/>
      <c r="F723" s="55"/>
      <c r="H723" s="55"/>
      <c r="J723" s="62"/>
      <c r="K723" s="55"/>
      <c r="L723" s="62"/>
      <c r="S723" s="55"/>
      <c r="Y723" s="55"/>
      <c r="Z723" s="55"/>
      <c r="AA723" s="55"/>
      <c r="AJ723" s="55"/>
    </row>
    <row r="724" ht="15.75" customHeight="1">
      <c r="A724" s="55"/>
      <c r="C724" s="55"/>
      <c r="E724" s="54"/>
      <c r="F724" s="55"/>
      <c r="H724" s="55"/>
      <c r="J724" s="62"/>
      <c r="K724" s="55"/>
      <c r="L724" s="62"/>
      <c r="S724" s="55"/>
      <c r="Y724" s="55"/>
      <c r="Z724" s="55"/>
      <c r="AA724" s="55"/>
      <c r="AJ724" s="55"/>
    </row>
    <row r="725" ht="15.75" customHeight="1">
      <c r="A725" s="55"/>
      <c r="C725" s="55"/>
      <c r="E725" s="54"/>
      <c r="F725" s="55"/>
      <c r="H725" s="55"/>
      <c r="J725" s="62"/>
      <c r="K725" s="55"/>
      <c r="L725" s="62"/>
      <c r="S725" s="55"/>
      <c r="Y725" s="55"/>
      <c r="Z725" s="55"/>
      <c r="AA725" s="55"/>
      <c r="AJ725" s="55"/>
    </row>
    <row r="726" ht="15.75" customHeight="1">
      <c r="A726" s="55"/>
      <c r="C726" s="55"/>
      <c r="E726" s="54"/>
      <c r="F726" s="55"/>
      <c r="H726" s="55"/>
      <c r="J726" s="62"/>
      <c r="K726" s="55"/>
      <c r="L726" s="62"/>
      <c r="S726" s="55"/>
      <c r="Y726" s="55"/>
      <c r="Z726" s="55"/>
      <c r="AA726" s="55"/>
      <c r="AJ726" s="55"/>
    </row>
    <row r="727" ht="15.75" customHeight="1">
      <c r="A727" s="55"/>
      <c r="C727" s="55"/>
      <c r="E727" s="54"/>
      <c r="F727" s="55"/>
      <c r="H727" s="55"/>
      <c r="J727" s="62"/>
      <c r="K727" s="55"/>
      <c r="L727" s="62"/>
      <c r="S727" s="55"/>
      <c r="Y727" s="55"/>
      <c r="Z727" s="55"/>
      <c r="AA727" s="55"/>
      <c r="AJ727" s="55"/>
    </row>
    <row r="728" ht="15.75" customHeight="1">
      <c r="A728" s="55"/>
      <c r="C728" s="55"/>
      <c r="E728" s="54"/>
      <c r="F728" s="55"/>
      <c r="H728" s="55"/>
      <c r="J728" s="62"/>
      <c r="K728" s="55"/>
      <c r="L728" s="62"/>
      <c r="S728" s="55"/>
      <c r="Y728" s="55"/>
      <c r="Z728" s="55"/>
      <c r="AA728" s="55"/>
      <c r="AJ728" s="55"/>
    </row>
    <row r="729" ht="15.75" customHeight="1">
      <c r="A729" s="55"/>
      <c r="C729" s="55"/>
      <c r="E729" s="54"/>
      <c r="F729" s="55"/>
      <c r="H729" s="55"/>
      <c r="J729" s="62"/>
      <c r="K729" s="55"/>
      <c r="L729" s="62"/>
      <c r="S729" s="55"/>
      <c r="Y729" s="55"/>
      <c r="Z729" s="55"/>
      <c r="AA729" s="55"/>
      <c r="AJ729" s="55"/>
    </row>
    <row r="730" ht="15.75" customHeight="1">
      <c r="A730" s="55"/>
      <c r="C730" s="55"/>
      <c r="E730" s="54"/>
      <c r="F730" s="55"/>
      <c r="H730" s="55"/>
      <c r="J730" s="62"/>
      <c r="K730" s="55"/>
      <c r="L730" s="62"/>
      <c r="S730" s="55"/>
      <c r="Y730" s="55"/>
      <c r="Z730" s="55"/>
      <c r="AA730" s="55"/>
      <c r="AJ730" s="55"/>
    </row>
    <row r="731" ht="15.75" customHeight="1">
      <c r="A731" s="55"/>
      <c r="C731" s="55"/>
      <c r="E731" s="54"/>
      <c r="F731" s="55"/>
      <c r="H731" s="55"/>
      <c r="J731" s="62"/>
      <c r="K731" s="55"/>
      <c r="L731" s="62"/>
      <c r="S731" s="55"/>
      <c r="Y731" s="55"/>
      <c r="Z731" s="55"/>
      <c r="AA731" s="55"/>
      <c r="AJ731" s="55"/>
    </row>
    <row r="732" ht="15.75" customHeight="1">
      <c r="A732" s="55"/>
      <c r="C732" s="55"/>
      <c r="E732" s="54"/>
      <c r="F732" s="55"/>
      <c r="H732" s="55"/>
      <c r="J732" s="62"/>
      <c r="K732" s="55"/>
      <c r="L732" s="62"/>
      <c r="S732" s="55"/>
      <c r="Y732" s="55"/>
      <c r="Z732" s="55"/>
      <c r="AA732" s="55"/>
      <c r="AJ732" s="55"/>
    </row>
    <row r="733" ht="15.75" customHeight="1">
      <c r="A733" s="55"/>
      <c r="C733" s="55"/>
      <c r="E733" s="54"/>
      <c r="F733" s="55"/>
      <c r="H733" s="55"/>
      <c r="J733" s="62"/>
      <c r="K733" s="55"/>
      <c r="L733" s="62"/>
      <c r="S733" s="55"/>
      <c r="Y733" s="55"/>
      <c r="Z733" s="55"/>
      <c r="AA733" s="55"/>
      <c r="AJ733" s="55"/>
    </row>
    <row r="734" ht="15.75" customHeight="1">
      <c r="A734" s="55"/>
      <c r="C734" s="55"/>
      <c r="E734" s="54"/>
      <c r="F734" s="55"/>
      <c r="H734" s="55"/>
      <c r="J734" s="62"/>
      <c r="K734" s="55"/>
      <c r="L734" s="62"/>
      <c r="S734" s="55"/>
      <c r="Y734" s="55"/>
      <c r="Z734" s="55"/>
      <c r="AA734" s="55"/>
      <c r="AJ734" s="55"/>
    </row>
    <row r="735" ht="15.75" customHeight="1">
      <c r="A735" s="55"/>
      <c r="C735" s="55"/>
      <c r="E735" s="54"/>
      <c r="F735" s="55"/>
      <c r="H735" s="55"/>
      <c r="J735" s="62"/>
      <c r="K735" s="55"/>
      <c r="L735" s="62"/>
      <c r="S735" s="55"/>
      <c r="Y735" s="55"/>
      <c r="Z735" s="55"/>
      <c r="AA735" s="55"/>
      <c r="AJ735" s="55"/>
    </row>
    <row r="736" ht="15.75" customHeight="1">
      <c r="A736" s="55"/>
      <c r="C736" s="55"/>
      <c r="E736" s="54"/>
      <c r="F736" s="55"/>
      <c r="H736" s="55"/>
      <c r="J736" s="62"/>
      <c r="K736" s="55"/>
      <c r="L736" s="62"/>
      <c r="S736" s="55"/>
      <c r="Y736" s="55"/>
      <c r="Z736" s="55"/>
      <c r="AA736" s="55"/>
      <c r="AJ736" s="55"/>
    </row>
    <row r="737" ht="15.75" customHeight="1">
      <c r="A737" s="55"/>
      <c r="C737" s="55"/>
      <c r="E737" s="54"/>
      <c r="F737" s="55"/>
      <c r="H737" s="55"/>
      <c r="J737" s="62"/>
      <c r="K737" s="55"/>
      <c r="L737" s="62"/>
      <c r="S737" s="55"/>
      <c r="Y737" s="55"/>
      <c r="Z737" s="55"/>
      <c r="AA737" s="55"/>
      <c r="AJ737" s="55"/>
    </row>
    <row r="738" ht="15.75" customHeight="1">
      <c r="A738" s="55"/>
      <c r="C738" s="55"/>
      <c r="E738" s="54"/>
      <c r="F738" s="55"/>
      <c r="H738" s="55"/>
      <c r="J738" s="62"/>
      <c r="K738" s="55"/>
      <c r="L738" s="62"/>
      <c r="S738" s="55"/>
      <c r="Y738" s="55"/>
      <c r="Z738" s="55"/>
      <c r="AA738" s="55"/>
      <c r="AJ738" s="55"/>
    </row>
    <row r="739" ht="15.75" customHeight="1">
      <c r="A739" s="55"/>
      <c r="C739" s="55"/>
      <c r="E739" s="54"/>
      <c r="F739" s="55"/>
      <c r="H739" s="55"/>
      <c r="J739" s="62"/>
      <c r="K739" s="55"/>
      <c r="L739" s="62"/>
      <c r="S739" s="55"/>
      <c r="Y739" s="55"/>
      <c r="Z739" s="55"/>
      <c r="AA739" s="55"/>
      <c r="AJ739" s="55"/>
    </row>
    <row r="740" ht="15.75" customHeight="1">
      <c r="A740" s="55"/>
      <c r="C740" s="55"/>
      <c r="E740" s="54"/>
      <c r="F740" s="55"/>
      <c r="H740" s="55"/>
      <c r="J740" s="62"/>
      <c r="K740" s="55"/>
      <c r="L740" s="62"/>
      <c r="S740" s="55"/>
      <c r="Y740" s="55"/>
      <c r="Z740" s="55"/>
      <c r="AA740" s="55"/>
      <c r="AJ740" s="55"/>
    </row>
    <row r="741" ht="15.75" customHeight="1">
      <c r="A741" s="55"/>
      <c r="C741" s="55"/>
      <c r="E741" s="54"/>
      <c r="F741" s="55"/>
      <c r="H741" s="55"/>
      <c r="J741" s="62"/>
      <c r="K741" s="55"/>
      <c r="L741" s="62"/>
      <c r="S741" s="55"/>
      <c r="Y741" s="55"/>
      <c r="Z741" s="55"/>
      <c r="AA741" s="55"/>
      <c r="AJ741" s="55"/>
    </row>
    <row r="742" ht="15.75" customHeight="1">
      <c r="A742" s="55"/>
      <c r="C742" s="55"/>
      <c r="E742" s="54"/>
      <c r="F742" s="55"/>
      <c r="H742" s="55"/>
      <c r="J742" s="62"/>
      <c r="K742" s="55"/>
      <c r="L742" s="62"/>
      <c r="S742" s="55"/>
      <c r="Y742" s="55"/>
      <c r="Z742" s="55"/>
      <c r="AA742" s="55"/>
      <c r="AJ742" s="55"/>
    </row>
    <row r="743" ht="15.75" customHeight="1">
      <c r="A743" s="55"/>
      <c r="C743" s="55"/>
      <c r="E743" s="54"/>
      <c r="F743" s="55"/>
      <c r="H743" s="55"/>
      <c r="J743" s="62"/>
      <c r="K743" s="55"/>
      <c r="L743" s="62"/>
      <c r="S743" s="55"/>
      <c r="Y743" s="55"/>
      <c r="Z743" s="55"/>
      <c r="AA743" s="55"/>
      <c r="AJ743" s="55"/>
    </row>
    <row r="744" ht="15.75" customHeight="1">
      <c r="A744" s="55"/>
      <c r="C744" s="55"/>
      <c r="E744" s="54"/>
      <c r="F744" s="55"/>
      <c r="H744" s="55"/>
      <c r="J744" s="62"/>
      <c r="K744" s="55"/>
      <c r="L744" s="62"/>
      <c r="S744" s="55"/>
      <c r="Y744" s="55"/>
      <c r="Z744" s="55"/>
      <c r="AA744" s="55"/>
      <c r="AJ744" s="55"/>
    </row>
    <row r="745" ht="15.75" customHeight="1">
      <c r="A745" s="55"/>
      <c r="C745" s="55"/>
      <c r="E745" s="54"/>
      <c r="F745" s="55"/>
      <c r="H745" s="55"/>
      <c r="J745" s="62"/>
      <c r="K745" s="55"/>
      <c r="L745" s="62"/>
      <c r="S745" s="55"/>
      <c r="Y745" s="55"/>
      <c r="Z745" s="55"/>
      <c r="AA745" s="55"/>
      <c r="AJ745" s="55"/>
    </row>
    <row r="746" ht="15.75" customHeight="1">
      <c r="A746" s="55"/>
      <c r="C746" s="55"/>
      <c r="E746" s="54"/>
      <c r="F746" s="55"/>
      <c r="H746" s="55"/>
      <c r="J746" s="62"/>
      <c r="K746" s="55"/>
      <c r="L746" s="62"/>
      <c r="S746" s="55"/>
      <c r="Y746" s="55"/>
      <c r="Z746" s="55"/>
      <c r="AA746" s="55"/>
      <c r="AJ746" s="55"/>
    </row>
    <row r="747" ht="15.75" customHeight="1">
      <c r="A747" s="55"/>
      <c r="C747" s="55"/>
      <c r="E747" s="54"/>
      <c r="F747" s="55"/>
      <c r="H747" s="55"/>
      <c r="J747" s="62"/>
      <c r="K747" s="55"/>
      <c r="L747" s="62"/>
      <c r="S747" s="55"/>
      <c r="Y747" s="55"/>
      <c r="Z747" s="55"/>
      <c r="AA747" s="55"/>
      <c r="AJ747" s="55"/>
    </row>
    <row r="748" ht="15.75" customHeight="1">
      <c r="A748" s="55"/>
      <c r="C748" s="55"/>
      <c r="E748" s="54"/>
      <c r="F748" s="55"/>
      <c r="H748" s="55"/>
      <c r="J748" s="62"/>
      <c r="K748" s="55"/>
      <c r="L748" s="62"/>
      <c r="S748" s="55"/>
      <c r="Y748" s="55"/>
      <c r="Z748" s="55"/>
      <c r="AA748" s="55"/>
      <c r="AJ748" s="55"/>
    </row>
    <row r="749" ht="15.75" customHeight="1">
      <c r="A749" s="55"/>
      <c r="C749" s="55"/>
      <c r="E749" s="54"/>
      <c r="F749" s="55"/>
      <c r="H749" s="55"/>
      <c r="J749" s="62"/>
      <c r="K749" s="55"/>
      <c r="L749" s="62"/>
      <c r="S749" s="55"/>
      <c r="Y749" s="55"/>
      <c r="Z749" s="55"/>
      <c r="AA749" s="55"/>
      <c r="AJ749" s="55"/>
    </row>
    <row r="750" ht="15.75" customHeight="1">
      <c r="A750" s="55"/>
      <c r="C750" s="55"/>
      <c r="E750" s="54"/>
      <c r="F750" s="55"/>
      <c r="H750" s="55"/>
      <c r="J750" s="62"/>
      <c r="K750" s="55"/>
      <c r="L750" s="62"/>
      <c r="S750" s="55"/>
      <c r="Y750" s="55"/>
      <c r="Z750" s="55"/>
      <c r="AA750" s="55"/>
      <c r="AJ750" s="55"/>
    </row>
    <row r="751" ht="15.75" customHeight="1">
      <c r="A751" s="55"/>
      <c r="C751" s="55"/>
      <c r="E751" s="54"/>
      <c r="F751" s="55"/>
      <c r="H751" s="55"/>
      <c r="J751" s="62"/>
      <c r="K751" s="55"/>
      <c r="L751" s="62"/>
      <c r="S751" s="55"/>
      <c r="Y751" s="55"/>
      <c r="Z751" s="55"/>
      <c r="AA751" s="55"/>
      <c r="AJ751" s="55"/>
    </row>
    <row r="752" ht="15.75" customHeight="1">
      <c r="A752" s="55"/>
      <c r="C752" s="55"/>
      <c r="E752" s="54"/>
      <c r="F752" s="55"/>
      <c r="H752" s="55"/>
      <c r="J752" s="62"/>
      <c r="K752" s="55"/>
      <c r="L752" s="62"/>
      <c r="S752" s="55"/>
      <c r="Y752" s="55"/>
      <c r="Z752" s="55"/>
      <c r="AA752" s="55"/>
      <c r="AJ752" s="55"/>
    </row>
    <row r="753" ht="15.75" customHeight="1">
      <c r="A753" s="55"/>
      <c r="C753" s="55"/>
      <c r="E753" s="54"/>
      <c r="F753" s="55"/>
      <c r="H753" s="55"/>
      <c r="J753" s="62"/>
      <c r="K753" s="55"/>
      <c r="L753" s="62"/>
      <c r="S753" s="55"/>
      <c r="Y753" s="55"/>
      <c r="Z753" s="55"/>
      <c r="AA753" s="55"/>
      <c r="AJ753" s="55"/>
    </row>
    <row r="754" ht="15.75" customHeight="1">
      <c r="A754" s="55"/>
      <c r="C754" s="55"/>
      <c r="E754" s="54"/>
      <c r="F754" s="55"/>
      <c r="H754" s="55"/>
      <c r="J754" s="62"/>
      <c r="K754" s="55"/>
      <c r="L754" s="62"/>
      <c r="S754" s="55"/>
      <c r="Y754" s="55"/>
      <c r="Z754" s="55"/>
      <c r="AA754" s="55"/>
      <c r="AJ754" s="55"/>
    </row>
    <row r="755" ht="15.75" customHeight="1">
      <c r="A755" s="55"/>
      <c r="C755" s="55"/>
      <c r="E755" s="54"/>
      <c r="F755" s="55"/>
      <c r="H755" s="55"/>
      <c r="J755" s="62"/>
      <c r="K755" s="55"/>
      <c r="L755" s="62"/>
      <c r="S755" s="55"/>
      <c r="Y755" s="55"/>
      <c r="Z755" s="55"/>
      <c r="AA755" s="55"/>
      <c r="AJ755" s="55"/>
    </row>
    <row r="756" ht="15.75" customHeight="1">
      <c r="A756" s="55"/>
      <c r="C756" s="55"/>
      <c r="E756" s="54"/>
      <c r="F756" s="55"/>
      <c r="H756" s="55"/>
      <c r="J756" s="62"/>
      <c r="K756" s="55"/>
      <c r="L756" s="62"/>
      <c r="S756" s="55"/>
      <c r="Y756" s="55"/>
      <c r="Z756" s="55"/>
      <c r="AA756" s="55"/>
      <c r="AJ756" s="55"/>
    </row>
    <row r="757" ht="15.75" customHeight="1">
      <c r="A757" s="55"/>
      <c r="C757" s="55"/>
      <c r="E757" s="54"/>
      <c r="F757" s="55"/>
      <c r="H757" s="55"/>
      <c r="J757" s="62"/>
      <c r="K757" s="55"/>
      <c r="L757" s="62"/>
      <c r="S757" s="55"/>
      <c r="Y757" s="55"/>
      <c r="Z757" s="55"/>
      <c r="AA757" s="55"/>
      <c r="AJ757" s="55"/>
    </row>
    <row r="758" ht="15.75" customHeight="1">
      <c r="A758" s="55"/>
      <c r="C758" s="55"/>
      <c r="E758" s="54"/>
      <c r="F758" s="55"/>
      <c r="H758" s="55"/>
      <c r="J758" s="62"/>
      <c r="K758" s="55"/>
      <c r="L758" s="62"/>
      <c r="S758" s="55"/>
      <c r="Y758" s="55"/>
      <c r="Z758" s="55"/>
      <c r="AA758" s="55"/>
      <c r="AJ758" s="55"/>
    </row>
    <row r="759" ht="15.75" customHeight="1">
      <c r="A759" s="55"/>
      <c r="C759" s="55"/>
      <c r="E759" s="54"/>
      <c r="F759" s="55"/>
      <c r="H759" s="55"/>
      <c r="J759" s="62"/>
      <c r="K759" s="55"/>
      <c r="L759" s="62"/>
      <c r="S759" s="55"/>
      <c r="Y759" s="55"/>
      <c r="Z759" s="55"/>
      <c r="AA759" s="55"/>
      <c r="AJ759" s="55"/>
    </row>
    <row r="760" ht="15.75" customHeight="1">
      <c r="A760" s="55"/>
      <c r="C760" s="55"/>
      <c r="E760" s="54"/>
      <c r="F760" s="55"/>
      <c r="H760" s="55"/>
      <c r="J760" s="62"/>
      <c r="K760" s="55"/>
      <c r="L760" s="62"/>
      <c r="S760" s="55"/>
      <c r="Y760" s="55"/>
      <c r="Z760" s="55"/>
      <c r="AA760" s="55"/>
      <c r="AJ760" s="55"/>
    </row>
    <row r="761" ht="15.75" customHeight="1">
      <c r="A761" s="55"/>
      <c r="C761" s="55"/>
      <c r="E761" s="54"/>
      <c r="F761" s="55"/>
      <c r="H761" s="55"/>
      <c r="J761" s="62"/>
      <c r="K761" s="55"/>
      <c r="L761" s="62"/>
      <c r="S761" s="55"/>
      <c r="Y761" s="55"/>
      <c r="Z761" s="55"/>
      <c r="AA761" s="55"/>
      <c r="AJ761" s="55"/>
    </row>
    <row r="762" ht="15.75" customHeight="1">
      <c r="A762" s="55"/>
      <c r="C762" s="55"/>
      <c r="E762" s="54"/>
      <c r="F762" s="55"/>
      <c r="H762" s="55"/>
      <c r="J762" s="62"/>
      <c r="K762" s="55"/>
      <c r="L762" s="62"/>
      <c r="S762" s="55"/>
      <c r="Y762" s="55"/>
      <c r="Z762" s="55"/>
      <c r="AA762" s="55"/>
      <c r="AJ762" s="55"/>
    </row>
    <row r="763" ht="15.75" customHeight="1">
      <c r="A763" s="55"/>
      <c r="C763" s="55"/>
      <c r="E763" s="54"/>
      <c r="F763" s="55"/>
      <c r="H763" s="55"/>
      <c r="J763" s="62"/>
      <c r="K763" s="55"/>
      <c r="L763" s="62"/>
      <c r="S763" s="55"/>
      <c r="Y763" s="55"/>
      <c r="Z763" s="55"/>
      <c r="AA763" s="55"/>
      <c r="AJ763" s="55"/>
    </row>
    <row r="764" ht="15.75" customHeight="1">
      <c r="A764" s="55"/>
      <c r="C764" s="55"/>
      <c r="E764" s="54"/>
      <c r="F764" s="55"/>
      <c r="H764" s="55"/>
      <c r="J764" s="62"/>
      <c r="K764" s="55"/>
      <c r="L764" s="62"/>
      <c r="S764" s="55"/>
      <c r="Y764" s="55"/>
      <c r="Z764" s="55"/>
      <c r="AA764" s="55"/>
      <c r="AJ764" s="55"/>
    </row>
    <row r="765" ht="15.75" customHeight="1">
      <c r="A765" s="55"/>
      <c r="C765" s="55"/>
      <c r="E765" s="54"/>
      <c r="F765" s="55"/>
      <c r="H765" s="55"/>
      <c r="J765" s="62"/>
      <c r="K765" s="55"/>
      <c r="L765" s="62"/>
      <c r="S765" s="55"/>
      <c r="Y765" s="55"/>
      <c r="Z765" s="55"/>
      <c r="AA765" s="55"/>
      <c r="AJ765" s="55"/>
    </row>
    <row r="766" ht="15.75" customHeight="1">
      <c r="A766" s="55"/>
      <c r="C766" s="55"/>
      <c r="E766" s="54"/>
      <c r="F766" s="55"/>
      <c r="H766" s="55"/>
      <c r="J766" s="62"/>
      <c r="K766" s="55"/>
      <c r="L766" s="62"/>
      <c r="S766" s="55"/>
      <c r="Y766" s="55"/>
      <c r="Z766" s="55"/>
      <c r="AA766" s="55"/>
      <c r="AJ766" s="55"/>
    </row>
    <row r="767" ht="15.75" customHeight="1">
      <c r="A767" s="55"/>
      <c r="C767" s="55"/>
      <c r="E767" s="54"/>
      <c r="F767" s="55"/>
      <c r="H767" s="55"/>
      <c r="J767" s="62"/>
      <c r="K767" s="55"/>
      <c r="L767" s="62"/>
      <c r="S767" s="55"/>
      <c r="Y767" s="55"/>
      <c r="Z767" s="55"/>
      <c r="AA767" s="55"/>
      <c r="AJ767" s="55"/>
    </row>
    <row r="768" ht="15.75" customHeight="1">
      <c r="A768" s="55"/>
      <c r="C768" s="55"/>
      <c r="E768" s="54"/>
      <c r="F768" s="55"/>
      <c r="H768" s="55"/>
      <c r="J768" s="62"/>
      <c r="K768" s="55"/>
      <c r="L768" s="62"/>
      <c r="S768" s="55"/>
      <c r="Y768" s="55"/>
      <c r="Z768" s="55"/>
      <c r="AA768" s="55"/>
      <c r="AJ768" s="55"/>
    </row>
    <row r="769" ht="15.75" customHeight="1">
      <c r="A769" s="55"/>
      <c r="C769" s="55"/>
      <c r="E769" s="54"/>
      <c r="F769" s="55"/>
      <c r="H769" s="55"/>
      <c r="J769" s="62"/>
      <c r="K769" s="55"/>
      <c r="L769" s="62"/>
      <c r="S769" s="55"/>
      <c r="Y769" s="55"/>
      <c r="Z769" s="55"/>
      <c r="AA769" s="55"/>
      <c r="AJ769" s="55"/>
    </row>
    <row r="770" ht="15.75" customHeight="1">
      <c r="A770" s="55"/>
      <c r="C770" s="55"/>
      <c r="E770" s="54"/>
      <c r="F770" s="55"/>
      <c r="H770" s="55"/>
      <c r="J770" s="62"/>
      <c r="K770" s="55"/>
      <c r="L770" s="62"/>
      <c r="S770" s="55"/>
      <c r="Y770" s="55"/>
      <c r="Z770" s="55"/>
      <c r="AA770" s="55"/>
      <c r="AJ770" s="55"/>
    </row>
    <row r="771" ht="15.75" customHeight="1">
      <c r="A771" s="55"/>
      <c r="C771" s="55"/>
      <c r="E771" s="54"/>
      <c r="F771" s="55"/>
      <c r="H771" s="55"/>
      <c r="J771" s="62"/>
      <c r="K771" s="55"/>
      <c r="L771" s="62"/>
      <c r="S771" s="55"/>
      <c r="Y771" s="55"/>
      <c r="Z771" s="55"/>
      <c r="AA771" s="55"/>
      <c r="AJ771" s="55"/>
    </row>
    <row r="772" ht="15.75" customHeight="1">
      <c r="A772" s="55"/>
      <c r="C772" s="55"/>
      <c r="E772" s="54"/>
      <c r="F772" s="55"/>
      <c r="H772" s="55"/>
      <c r="J772" s="62"/>
      <c r="K772" s="55"/>
      <c r="L772" s="62"/>
      <c r="S772" s="55"/>
      <c r="Y772" s="55"/>
      <c r="Z772" s="55"/>
      <c r="AA772" s="55"/>
      <c r="AJ772" s="55"/>
    </row>
    <row r="773" ht="15.75" customHeight="1">
      <c r="A773" s="55"/>
      <c r="C773" s="55"/>
      <c r="E773" s="54"/>
      <c r="F773" s="55"/>
      <c r="H773" s="55"/>
      <c r="J773" s="62"/>
      <c r="K773" s="55"/>
      <c r="L773" s="62"/>
      <c r="S773" s="55"/>
      <c r="Y773" s="55"/>
      <c r="Z773" s="55"/>
      <c r="AA773" s="55"/>
      <c r="AJ773" s="55"/>
    </row>
    <row r="774" ht="15.75" customHeight="1">
      <c r="A774" s="55"/>
      <c r="C774" s="55"/>
      <c r="E774" s="54"/>
      <c r="F774" s="55"/>
      <c r="H774" s="55"/>
      <c r="J774" s="62"/>
      <c r="K774" s="55"/>
      <c r="L774" s="62"/>
      <c r="S774" s="55"/>
      <c r="Y774" s="55"/>
      <c r="Z774" s="55"/>
      <c r="AA774" s="55"/>
      <c r="AJ774" s="55"/>
    </row>
    <row r="775" ht="15.75" customHeight="1">
      <c r="A775" s="55"/>
      <c r="C775" s="55"/>
      <c r="E775" s="54"/>
      <c r="F775" s="55"/>
      <c r="H775" s="55"/>
      <c r="J775" s="62"/>
      <c r="K775" s="55"/>
      <c r="L775" s="62"/>
      <c r="S775" s="55"/>
      <c r="Y775" s="55"/>
      <c r="Z775" s="55"/>
      <c r="AA775" s="55"/>
      <c r="AJ775" s="55"/>
    </row>
    <row r="776" ht="15.75" customHeight="1">
      <c r="A776" s="55"/>
      <c r="C776" s="55"/>
      <c r="E776" s="54"/>
      <c r="F776" s="55"/>
      <c r="H776" s="55"/>
      <c r="J776" s="62"/>
      <c r="K776" s="55"/>
      <c r="L776" s="62"/>
      <c r="S776" s="55"/>
      <c r="Y776" s="55"/>
      <c r="Z776" s="55"/>
      <c r="AA776" s="55"/>
      <c r="AJ776" s="55"/>
    </row>
    <row r="777" ht="15.75" customHeight="1">
      <c r="A777" s="55"/>
      <c r="C777" s="55"/>
      <c r="E777" s="54"/>
      <c r="F777" s="55"/>
      <c r="H777" s="55"/>
      <c r="J777" s="62"/>
      <c r="K777" s="55"/>
      <c r="L777" s="62"/>
      <c r="S777" s="55"/>
      <c r="Y777" s="55"/>
      <c r="Z777" s="55"/>
      <c r="AA777" s="55"/>
      <c r="AJ777" s="55"/>
    </row>
    <row r="778" ht="15.75" customHeight="1">
      <c r="A778" s="55"/>
      <c r="C778" s="55"/>
      <c r="E778" s="54"/>
      <c r="F778" s="55"/>
      <c r="H778" s="55"/>
      <c r="J778" s="62"/>
      <c r="K778" s="55"/>
      <c r="L778" s="62"/>
      <c r="S778" s="55"/>
      <c r="Y778" s="55"/>
      <c r="Z778" s="55"/>
      <c r="AA778" s="55"/>
      <c r="AJ778" s="55"/>
    </row>
    <row r="779" ht="15.75" customHeight="1">
      <c r="A779" s="55"/>
      <c r="C779" s="55"/>
      <c r="E779" s="54"/>
      <c r="F779" s="55"/>
      <c r="H779" s="55"/>
      <c r="J779" s="62"/>
      <c r="K779" s="55"/>
      <c r="L779" s="62"/>
      <c r="S779" s="55"/>
      <c r="Y779" s="55"/>
      <c r="Z779" s="55"/>
      <c r="AA779" s="55"/>
      <c r="AJ779" s="55"/>
    </row>
    <row r="780" ht="15.75" customHeight="1">
      <c r="A780" s="55"/>
      <c r="C780" s="55"/>
      <c r="E780" s="54"/>
      <c r="F780" s="55"/>
      <c r="H780" s="55"/>
      <c r="J780" s="62"/>
      <c r="K780" s="55"/>
      <c r="L780" s="62"/>
      <c r="S780" s="55"/>
      <c r="Y780" s="55"/>
      <c r="Z780" s="55"/>
      <c r="AA780" s="55"/>
      <c r="AJ780" s="55"/>
    </row>
    <row r="781" ht="15.75" customHeight="1">
      <c r="A781" s="55"/>
      <c r="C781" s="55"/>
      <c r="E781" s="54"/>
      <c r="F781" s="55"/>
      <c r="H781" s="55"/>
      <c r="J781" s="62"/>
      <c r="K781" s="55"/>
      <c r="L781" s="62"/>
      <c r="S781" s="55"/>
      <c r="Y781" s="55"/>
      <c r="Z781" s="55"/>
      <c r="AA781" s="55"/>
      <c r="AJ781" s="55"/>
    </row>
    <row r="782" ht="15.75" customHeight="1">
      <c r="A782" s="55"/>
      <c r="C782" s="55"/>
      <c r="E782" s="54"/>
      <c r="F782" s="55"/>
      <c r="H782" s="55"/>
      <c r="J782" s="62"/>
      <c r="K782" s="55"/>
      <c r="L782" s="62"/>
      <c r="S782" s="55"/>
      <c r="Y782" s="55"/>
      <c r="Z782" s="55"/>
      <c r="AA782" s="55"/>
      <c r="AJ782" s="55"/>
    </row>
    <row r="783" ht="15.75" customHeight="1">
      <c r="A783" s="55"/>
      <c r="C783" s="55"/>
      <c r="E783" s="54"/>
      <c r="F783" s="55"/>
      <c r="H783" s="55"/>
      <c r="J783" s="62"/>
      <c r="K783" s="55"/>
      <c r="L783" s="62"/>
      <c r="S783" s="55"/>
      <c r="Y783" s="55"/>
      <c r="Z783" s="55"/>
      <c r="AA783" s="55"/>
      <c r="AJ783" s="55"/>
    </row>
    <row r="784" ht="15.75" customHeight="1">
      <c r="A784" s="55"/>
      <c r="C784" s="55"/>
      <c r="E784" s="54"/>
      <c r="F784" s="55"/>
      <c r="H784" s="55"/>
      <c r="J784" s="62"/>
      <c r="K784" s="55"/>
      <c r="L784" s="62"/>
      <c r="S784" s="55"/>
      <c r="Y784" s="55"/>
      <c r="Z784" s="55"/>
      <c r="AA784" s="55"/>
      <c r="AJ784" s="55"/>
    </row>
    <row r="785" ht="15.75" customHeight="1">
      <c r="A785" s="55"/>
      <c r="C785" s="55"/>
      <c r="E785" s="54"/>
      <c r="F785" s="55"/>
      <c r="H785" s="55"/>
      <c r="J785" s="62"/>
      <c r="K785" s="55"/>
      <c r="L785" s="62"/>
      <c r="S785" s="55"/>
      <c r="Y785" s="55"/>
      <c r="Z785" s="55"/>
      <c r="AA785" s="55"/>
      <c r="AJ785" s="55"/>
    </row>
    <row r="786" ht="15.75" customHeight="1">
      <c r="A786" s="55"/>
      <c r="C786" s="55"/>
      <c r="E786" s="54"/>
      <c r="F786" s="55"/>
      <c r="H786" s="55"/>
      <c r="J786" s="62"/>
      <c r="K786" s="55"/>
      <c r="L786" s="62"/>
      <c r="S786" s="55"/>
      <c r="Y786" s="55"/>
      <c r="Z786" s="55"/>
      <c r="AA786" s="55"/>
      <c r="AJ786" s="55"/>
    </row>
    <row r="787" ht="15.75" customHeight="1">
      <c r="A787" s="55"/>
      <c r="C787" s="55"/>
      <c r="E787" s="54"/>
      <c r="F787" s="55"/>
      <c r="H787" s="55"/>
      <c r="J787" s="62"/>
      <c r="K787" s="55"/>
      <c r="L787" s="62"/>
      <c r="S787" s="55"/>
      <c r="Y787" s="55"/>
      <c r="Z787" s="55"/>
      <c r="AA787" s="55"/>
      <c r="AJ787" s="55"/>
    </row>
    <row r="788" ht="15.75" customHeight="1">
      <c r="A788" s="55"/>
      <c r="C788" s="55"/>
      <c r="E788" s="54"/>
      <c r="F788" s="55"/>
      <c r="H788" s="55"/>
      <c r="J788" s="62"/>
      <c r="K788" s="55"/>
      <c r="L788" s="62"/>
      <c r="S788" s="55"/>
      <c r="Y788" s="55"/>
      <c r="Z788" s="55"/>
      <c r="AA788" s="55"/>
      <c r="AJ788" s="55"/>
    </row>
    <row r="789" ht="15.75" customHeight="1">
      <c r="A789" s="55"/>
      <c r="C789" s="55"/>
      <c r="E789" s="54"/>
      <c r="F789" s="55"/>
      <c r="H789" s="55"/>
      <c r="J789" s="62"/>
      <c r="K789" s="55"/>
      <c r="L789" s="62"/>
      <c r="S789" s="55"/>
      <c r="Y789" s="55"/>
      <c r="Z789" s="55"/>
      <c r="AA789" s="55"/>
      <c r="AJ789" s="55"/>
    </row>
    <row r="790" ht="15.75" customHeight="1">
      <c r="A790" s="55"/>
      <c r="C790" s="55"/>
      <c r="E790" s="54"/>
      <c r="F790" s="55"/>
      <c r="H790" s="55"/>
      <c r="J790" s="62"/>
      <c r="K790" s="55"/>
      <c r="L790" s="62"/>
      <c r="S790" s="55"/>
      <c r="Y790" s="55"/>
      <c r="Z790" s="55"/>
      <c r="AA790" s="55"/>
      <c r="AJ790" s="55"/>
    </row>
    <row r="791" ht="15.75" customHeight="1">
      <c r="A791" s="55"/>
      <c r="C791" s="55"/>
      <c r="E791" s="54"/>
      <c r="F791" s="55"/>
      <c r="H791" s="55"/>
      <c r="J791" s="62"/>
      <c r="K791" s="55"/>
      <c r="L791" s="62"/>
      <c r="S791" s="55"/>
      <c r="Y791" s="55"/>
      <c r="Z791" s="55"/>
      <c r="AA791" s="55"/>
      <c r="AJ791" s="55"/>
    </row>
    <row r="792" ht="15.75" customHeight="1">
      <c r="A792" s="55"/>
      <c r="C792" s="55"/>
      <c r="E792" s="54"/>
      <c r="F792" s="55"/>
      <c r="H792" s="55"/>
      <c r="J792" s="62"/>
      <c r="K792" s="55"/>
      <c r="L792" s="62"/>
      <c r="S792" s="55"/>
      <c r="Y792" s="55"/>
      <c r="Z792" s="55"/>
      <c r="AA792" s="55"/>
      <c r="AJ792" s="55"/>
    </row>
    <row r="793" ht="15.75" customHeight="1">
      <c r="A793" s="55"/>
      <c r="C793" s="55"/>
      <c r="E793" s="54"/>
      <c r="F793" s="55"/>
      <c r="H793" s="55"/>
      <c r="J793" s="62"/>
      <c r="K793" s="55"/>
      <c r="L793" s="62"/>
      <c r="S793" s="55"/>
      <c r="Y793" s="55"/>
      <c r="Z793" s="55"/>
      <c r="AA793" s="55"/>
      <c r="AJ793" s="55"/>
    </row>
    <row r="794" ht="15.75" customHeight="1">
      <c r="A794" s="55"/>
      <c r="C794" s="55"/>
      <c r="E794" s="54"/>
      <c r="F794" s="55"/>
      <c r="H794" s="55"/>
      <c r="J794" s="62"/>
      <c r="K794" s="55"/>
      <c r="L794" s="62"/>
      <c r="S794" s="55"/>
      <c r="Y794" s="55"/>
      <c r="Z794" s="55"/>
      <c r="AA794" s="55"/>
      <c r="AJ794" s="55"/>
    </row>
    <row r="795" ht="15.75" customHeight="1">
      <c r="A795" s="55"/>
      <c r="C795" s="55"/>
      <c r="E795" s="54"/>
      <c r="F795" s="55"/>
      <c r="H795" s="55"/>
      <c r="J795" s="62"/>
      <c r="K795" s="55"/>
      <c r="L795" s="62"/>
      <c r="S795" s="55"/>
      <c r="Y795" s="55"/>
      <c r="Z795" s="55"/>
      <c r="AA795" s="55"/>
      <c r="AJ795" s="55"/>
    </row>
    <row r="796" ht="15.75" customHeight="1">
      <c r="A796" s="55"/>
      <c r="C796" s="55"/>
      <c r="E796" s="54"/>
      <c r="F796" s="55"/>
      <c r="H796" s="55"/>
      <c r="J796" s="62"/>
      <c r="K796" s="55"/>
      <c r="L796" s="62"/>
      <c r="S796" s="55"/>
      <c r="Y796" s="55"/>
      <c r="Z796" s="55"/>
      <c r="AA796" s="55"/>
      <c r="AJ796" s="55"/>
    </row>
    <row r="797" ht="15.75" customHeight="1">
      <c r="A797" s="55"/>
      <c r="C797" s="55"/>
      <c r="E797" s="54"/>
      <c r="F797" s="55"/>
      <c r="H797" s="55"/>
      <c r="J797" s="62"/>
      <c r="K797" s="55"/>
      <c r="L797" s="62"/>
      <c r="S797" s="55"/>
      <c r="Y797" s="55"/>
      <c r="Z797" s="55"/>
      <c r="AA797" s="55"/>
      <c r="AJ797" s="55"/>
    </row>
    <row r="798" ht="15.75" customHeight="1">
      <c r="A798" s="55"/>
      <c r="C798" s="55"/>
      <c r="E798" s="54"/>
      <c r="F798" s="55"/>
      <c r="H798" s="55"/>
      <c r="J798" s="62"/>
      <c r="K798" s="55"/>
      <c r="L798" s="62"/>
      <c r="S798" s="55"/>
      <c r="Y798" s="55"/>
      <c r="Z798" s="55"/>
      <c r="AA798" s="55"/>
      <c r="AJ798" s="55"/>
    </row>
    <row r="799" ht="15.75" customHeight="1">
      <c r="A799" s="55"/>
      <c r="C799" s="55"/>
      <c r="E799" s="54"/>
      <c r="F799" s="55"/>
      <c r="H799" s="55"/>
      <c r="J799" s="62"/>
      <c r="K799" s="55"/>
      <c r="L799" s="62"/>
      <c r="S799" s="55"/>
      <c r="Y799" s="55"/>
      <c r="Z799" s="55"/>
      <c r="AA799" s="55"/>
      <c r="AJ799" s="55"/>
    </row>
    <row r="800" ht="15.75" customHeight="1">
      <c r="A800" s="55"/>
      <c r="C800" s="55"/>
      <c r="E800" s="54"/>
      <c r="F800" s="55"/>
      <c r="H800" s="55"/>
      <c r="J800" s="62"/>
      <c r="K800" s="55"/>
      <c r="L800" s="62"/>
      <c r="S800" s="55"/>
      <c r="Y800" s="55"/>
      <c r="Z800" s="55"/>
      <c r="AA800" s="55"/>
      <c r="AJ800" s="55"/>
    </row>
    <row r="801" ht="15.75" customHeight="1">
      <c r="A801" s="55"/>
      <c r="C801" s="55"/>
      <c r="E801" s="54"/>
      <c r="F801" s="55"/>
      <c r="H801" s="55"/>
      <c r="J801" s="62"/>
      <c r="K801" s="55"/>
      <c r="L801" s="62"/>
      <c r="S801" s="55"/>
      <c r="Y801" s="55"/>
      <c r="Z801" s="55"/>
      <c r="AA801" s="55"/>
      <c r="AJ801" s="55"/>
    </row>
    <row r="802" ht="15.75" customHeight="1">
      <c r="A802" s="55"/>
      <c r="C802" s="55"/>
      <c r="E802" s="54"/>
      <c r="F802" s="55"/>
      <c r="H802" s="55"/>
      <c r="J802" s="62"/>
      <c r="K802" s="55"/>
      <c r="L802" s="62"/>
      <c r="S802" s="55"/>
      <c r="Y802" s="55"/>
      <c r="Z802" s="55"/>
      <c r="AA802" s="55"/>
      <c r="AJ802" s="55"/>
    </row>
    <row r="803" ht="15.75" customHeight="1">
      <c r="A803" s="55"/>
      <c r="C803" s="55"/>
      <c r="E803" s="54"/>
      <c r="F803" s="55"/>
      <c r="H803" s="55"/>
      <c r="J803" s="62"/>
      <c r="K803" s="55"/>
      <c r="L803" s="62"/>
      <c r="S803" s="55"/>
      <c r="Y803" s="55"/>
      <c r="Z803" s="55"/>
      <c r="AA803" s="55"/>
      <c r="AJ803" s="55"/>
    </row>
    <row r="804" ht="15.75" customHeight="1">
      <c r="A804" s="55"/>
      <c r="C804" s="55"/>
      <c r="E804" s="54"/>
      <c r="F804" s="55"/>
      <c r="H804" s="55"/>
      <c r="J804" s="62"/>
      <c r="K804" s="55"/>
      <c r="L804" s="62"/>
      <c r="S804" s="55"/>
      <c r="Y804" s="55"/>
      <c r="Z804" s="55"/>
      <c r="AA804" s="55"/>
      <c r="AJ804" s="55"/>
    </row>
    <row r="805" ht="15.75" customHeight="1">
      <c r="A805" s="55"/>
      <c r="C805" s="55"/>
      <c r="E805" s="54"/>
      <c r="F805" s="55"/>
      <c r="H805" s="55"/>
      <c r="J805" s="62"/>
      <c r="K805" s="55"/>
      <c r="L805" s="62"/>
      <c r="S805" s="55"/>
      <c r="Y805" s="55"/>
      <c r="Z805" s="55"/>
      <c r="AA805" s="55"/>
      <c r="AJ805" s="55"/>
    </row>
    <row r="806" ht="15.75" customHeight="1">
      <c r="A806" s="55"/>
      <c r="C806" s="55"/>
      <c r="E806" s="54"/>
      <c r="F806" s="55"/>
      <c r="H806" s="55"/>
      <c r="J806" s="62"/>
      <c r="K806" s="55"/>
      <c r="L806" s="62"/>
      <c r="S806" s="55"/>
      <c r="Y806" s="55"/>
      <c r="Z806" s="55"/>
      <c r="AA806" s="55"/>
      <c r="AJ806" s="55"/>
    </row>
    <row r="807" ht="15.75" customHeight="1">
      <c r="A807" s="55"/>
      <c r="C807" s="55"/>
      <c r="E807" s="54"/>
      <c r="F807" s="55"/>
      <c r="H807" s="55"/>
      <c r="J807" s="62"/>
      <c r="K807" s="55"/>
      <c r="L807" s="62"/>
      <c r="S807" s="55"/>
      <c r="Y807" s="55"/>
      <c r="Z807" s="55"/>
      <c r="AA807" s="55"/>
      <c r="AJ807" s="55"/>
    </row>
    <row r="808" ht="15.75" customHeight="1">
      <c r="A808" s="55"/>
      <c r="C808" s="55"/>
      <c r="E808" s="54"/>
      <c r="F808" s="55"/>
      <c r="H808" s="55"/>
      <c r="J808" s="62"/>
      <c r="K808" s="55"/>
      <c r="L808" s="62"/>
      <c r="S808" s="55"/>
      <c r="Y808" s="55"/>
      <c r="Z808" s="55"/>
      <c r="AA808" s="55"/>
      <c r="AJ808" s="55"/>
    </row>
    <row r="809" ht="15.75" customHeight="1">
      <c r="A809" s="55"/>
      <c r="C809" s="55"/>
      <c r="E809" s="54"/>
      <c r="F809" s="55"/>
      <c r="H809" s="55"/>
      <c r="J809" s="62"/>
      <c r="K809" s="55"/>
      <c r="L809" s="62"/>
      <c r="S809" s="55"/>
      <c r="Y809" s="55"/>
      <c r="Z809" s="55"/>
      <c r="AA809" s="55"/>
      <c r="AJ809" s="55"/>
    </row>
    <row r="810" ht="15.75" customHeight="1">
      <c r="A810" s="55"/>
      <c r="C810" s="55"/>
      <c r="E810" s="54"/>
      <c r="F810" s="55"/>
      <c r="H810" s="55"/>
      <c r="J810" s="62"/>
      <c r="K810" s="55"/>
      <c r="L810" s="62"/>
      <c r="S810" s="55"/>
      <c r="Y810" s="55"/>
      <c r="Z810" s="55"/>
      <c r="AA810" s="55"/>
      <c r="AJ810" s="55"/>
    </row>
    <row r="811" ht="15.75" customHeight="1">
      <c r="A811" s="55"/>
      <c r="C811" s="55"/>
      <c r="E811" s="54"/>
      <c r="F811" s="55"/>
      <c r="H811" s="55"/>
      <c r="J811" s="62"/>
      <c r="K811" s="55"/>
      <c r="L811" s="62"/>
      <c r="S811" s="55"/>
      <c r="Y811" s="55"/>
      <c r="Z811" s="55"/>
      <c r="AA811" s="55"/>
      <c r="AJ811" s="55"/>
    </row>
    <row r="812" ht="15.75" customHeight="1">
      <c r="A812" s="55"/>
      <c r="C812" s="55"/>
      <c r="E812" s="54"/>
      <c r="F812" s="55"/>
      <c r="H812" s="55"/>
      <c r="J812" s="62"/>
      <c r="K812" s="55"/>
      <c r="L812" s="62"/>
      <c r="S812" s="55"/>
      <c r="Y812" s="55"/>
      <c r="Z812" s="55"/>
      <c r="AA812" s="55"/>
      <c r="AJ812" s="55"/>
    </row>
    <row r="813" ht="15.75" customHeight="1">
      <c r="A813" s="55"/>
      <c r="C813" s="55"/>
      <c r="E813" s="54"/>
      <c r="F813" s="55"/>
      <c r="H813" s="55"/>
      <c r="J813" s="62"/>
      <c r="K813" s="55"/>
      <c r="L813" s="62"/>
      <c r="S813" s="55"/>
      <c r="Y813" s="55"/>
      <c r="Z813" s="55"/>
      <c r="AA813" s="55"/>
      <c r="AJ813" s="55"/>
    </row>
    <row r="814" ht="15.75" customHeight="1">
      <c r="A814" s="55"/>
      <c r="C814" s="55"/>
      <c r="E814" s="54"/>
      <c r="F814" s="55"/>
      <c r="H814" s="55"/>
      <c r="J814" s="62"/>
      <c r="K814" s="55"/>
      <c r="L814" s="62"/>
      <c r="S814" s="55"/>
      <c r="Y814" s="55"/>
      <c r="Z814" s="55"/>
      <c r="AA814" s="55"/>
      <c r="AJ814" s="55"/>
    </row>
    <row r="815" ht="15.75" customHeight="1">
      <c r="A815" s="55"/>
      <c r="C815" s="55"/>
      <c r="E815" s="54"/>
      <c r="F815" s="55"/>
      <c r="H815" s="55"/>
      <c r="J815" s="62"/>
      <c r="K815" s="55"/>
      <c r="L815" s="62"/>
      <c r="S815" s="55"/>
      <c r="Y815" s="55"/>
      <c r="Z815" s="55"/>
      <c r="AA815" s="55"/>
      <c r="AJ815" s="55"/>
    </row>
    <row r="816" ht="15.75" customHeight="1">
      <c r="A816" s="55"/>
      <c r="C816" s="55"/>
      <c r="E816" s="54"/>
      <c r="F816" s="55"/>
      <c r="H816" s="55"/>
      <c r="J816" s="62"/>
      <c r="K816" s="55"/>
      <c r="L816" s="62"/>
      <c r="S816" s="55"/>
      <c r="Y816" s="55"/>
      <c r="Z816" s="55"/>
      <c r="AA816" s="55"/>
      <c r="AJ816" s="55"/>
    </row>
    <row r="817" ht="15.75" customHeight="1">
      <c r="A817" s="55"/>
      <c r="C817" s="55"/>
      <c r="E817" s="54"/>
      <c r="F817" s="55"/>
      <c r="H817" s="55"/>
      <c r="J817" s="62"/>
      <c r="K817" s="55"/>
      <c r="L817" s="62"/>
      <c r="S817" s="55"/>
      <c r="Y817" s="55"/>
      <c r="Z817" s="55"/>
      <c r="AA817" s="55"/>
      <c r="AJ817" s="55"/>
    </row>
    <row r="818" ht="15.75" customHeight="1">
      <c r="A818" s="55"/>
      <c r="C818" s="55"/>
      <c r="E818" s="54"/>
      <c r="F818" s="55"/>
      <c r="H818" s="55"/>
      <c r="J818" s="62"/>
      <c r="K818" s="55"/>
      <c r="L818" s="62"/>
      <c r="S818" s="55"/>
      <c r="Y818" s="55"/>
      <c r="Z818" s="55"/>
      <c r="AA818" s="55"/>
      <c r="AJ818" s="55"/>
    </row>
    <row r="819" ht="15.75" customHeight="1">
      <c r="A819" s="55"/>
      <c r="C819" s="55"/>
      <c r="E819" s="54"/>
      <c r="F819" s="55"/>
      <c r="H819" s="55"/>
      <c r="J819" s="62"/>
      <c r="K819" s="55"/>
      <c r="L819" s="62"/>
      <c r="S819" s="55"/>
      <c r="Y819" s="55"/>
      <c r="Z819" s="55"/>
      <c r="AA819" s="55"/>
      <c r="AJ819" s="55"/>
    </row>
    <row r="820" ht="15.75" customHeight="1">
      <c r="A820" s="55"/>
      <c r="C820" s="55"/>
      <c r="E820" s="54"/>
      <c r="F820" s="55"/>
      <c r="H820" s="55"/>
      <c r="J820" s="62"/>
      <c r="K820" s="55"/>
      <c r="L820" s="62"/>
      <c r="S820" s="55"/>
      <c r="Y820" s="55"/>
      <c r="Z820" s="55"/>
      <c r="AA820" s="55"/>
      <c r="AJ820" s="55"/>
    </row>
    <row r="821" ht="15.75" customHeight="1">
      <c r="A821" s="55"/>
      <c r="C821" s="55"/>
      <c r="E821" s="54"/>
      <c r="F821" s="55"/>
      <c r="H821" s="55"/>
      <c r="J821" s="62"/>
      <c r="K821" s="55"/>
      <c r="L821" s="62"/>
      <c r="S821" s="55"/>
      <c r="Y821" s="55"/>
      <c r="Z821" s="55"/>
      <c r="AA821" s="55"/>
      <c r="AJ821" s="55"/>
    </row>
    <row r="822" ht="15.75" customHeight="1">
      <c r="A822" s="55"/>
      <c r="C822" s="55"/>
      <c r="E822" s="54"/>
      <c r="F822" s="55"/>
      <c r="H822" s="55"/>
      <c r="J822" s="62"/>
      <c r="K822" s="55"/>
      <c r="L822" s="62"/>
      <c r="S822" s="55"/>
      <c r="Y822" s="55"/>
      <c r="Z822" s="55"/>
      <c r="AA822" s="55"/>
      <c r="AJ822" s="55"/>
    </row>
    <row r="823" ht="15.75" customHeight="1">
      <c r="A823" s="55"/>
      <c r="C823" s="55"/>
      <c r="E823" s="54"/>
      <c r="F823" s="55"/>
      <c r="H823" s="55"/>
      <c r="J823" s="62"/>
      <c r="K823" s="55"/>
      <c r="L823" s="62"/>
      <c r="S823" s="55"/>
      <c r="Y823" s="55"/>
      <c r="Z823" s="55"/>
      <c r="AA823" s="55"/>
      <c r="AJ823" s="55"/>
    </row>
    <row r="824" ht="15.75" customHeight="1">
      <c r="A824" s="55"/>
      <c r="C824" s="55"/>
      <c r="E824" s="54"/>
      <c r="F824" s="55"/>
      <c r="H824" s="55"/>
      <c r="J824" s="62"/>
      <c r="K824" s="55"/>
      <c r="L824" s="62"/>
      <c r="S824" s="55"/>
      <c r="Y824" s="55"/>
      <c r="Z824" s="55"/>
      <c r="AA824" s="55"/>
      <c r="AJ824" s="55"/>
    </row>
    <row r="825" ht="15.75" customHeight="1">
      <c r="A825" s="55"/>
      <c r="C825" s="55"/>
      <c r="E825" s="54"/>
      <c r="F825" s="55"/>
      <c r="H825" s="55"/>
      <c r="J825" s="62"/>
      <c r="K825" s="55"/>
      <c r="L825" s="62"/>
      <c r="S825" s="55"/>
      <c r="Y825" s="55"/>
      <c r="Z825" s="55"/>
      <c r="AA825" s="55"/>
      <c r="AJ825" s="55"/>
    </row>
    <row r="826" ht="15.75" customHeight="1">
      <c r="A826" s="55"/>
      <c r="C826" s="55"/>
      <c r="E826" s="54"/>
      <c r="F826" s="55"/>
      <c r="H826" s="55"/>
      <c r="J826" s="62"/>
      <c r="K826" s="55"/>
      <c r="L826" s="62"/>
      <c r="S826" s="55"/>
      <c r="Y826" s="55"/>
      <c r="Z826" s="55"/>
      <c r="AA826" s="55"/>
      <c r="AJ826" s="55"/>
    </row>
    <row r="827" ht="15.75" customHeight="1">
      <c r="A827" s="55"/>
      <c r="C827" s="55"/>
      <c r="E827" s="54"/>
      <c r="F827" s="55"/>
      <c r="H827" s="55"/>
      <c r="J827" s="62"/>
      <c r="K827" s="55"/>
      <c r="L827" s="62"/>
      <c r="S827" s="55"/>
      <c r="Y827" s="55"/>
      <c r="Z827" s="55"/>
      <c r="AA827" s="55"/>
      <c r="AJ827" s="55"/>
    </row>
    <row r="828" ht="15.75" customHeight="1">
      <c r="A828" s="55"/>
      <c r="C828" s="55"/>
      <c r="E828" s="54"/>
      <c r="F828" s="55"/>
      <c r="H828" s="55"/>
      <c r="J828" s="62"/>
      <c r="K828" s="55"/>
      <c r="L828" s="62"/>
      <c r="S828" s="55"/>
      <c r="Y828" s="55"/>
      <c r="Z828" s="55"/>
      <c r="AA828" s="55"/>
      <c r="AJ828" s="55"/>
    </row>
    <row r="829" ht="15.75" customHeight="1">
      <c r="A829" s="55"/>
      <c r="C829" s="55"/>
      <c r="E829" s="54"/>
      <c r="F829" s="55"/>
      <c r="H829" s="55"/>
      <c r="J829" s="62"/>
      <c r="K829" s="55"/>
      <c r="L829" s="62"/>
      <c r="S829" s="55"/>
      <c r="Y829" s="55"/>
      <c r="Z829" s="55"/>
      <c r="AA829" s="55"/>
      <c r="AJ829" s="55"/>
    </row>
    <row r="830" ht="15.75" customHeight="1">
      <c r="A830" s="55"/>
      <c r="C830" s="55"/>
      <c r="E830" s="54"/>
      <c r="F830" s="55"/>
      <c r="H830" s="55"/>
      <c r="J830" s="62"/>
      <c r="K830" s="55"/>
      <c r="L830" s="62"/>
      <c r="S830" s="55"/>
      <c r="Y830" s="55"/>
      <c r="Z830" s="55"/>
      <c r="AA830" s="55"/>
      <c r="AJ830" s="55"/>
    </row>
    <row r="831" ht="15.75" customHeight="1">
      <c r="A831" s="55"/>
      <c r="C831" s="55"/>
      <c r="E831" s="54"/>
      <c r="F831" s="55"/>
      <c r="H831" s="55"/>
      <c r="J831" s="62"/>
      <c r="K831" s="55"/>
      <c r="L831" s="62"/>
      <c r="S831" s="55"/>
      <c r="Y831" s="55"/>
      <c r="Z831" s="55"/>
      <c r="AA831" s="55"/>
      <c r="AJ831" s="55"/>
    </row>
    <row r="832" ht="15.75" customHeight="1">
      <c r="A832" s="55"/>
      <c r="C832" s="55"/>
      <c r="E832" s="54"/>
      <c r="F832" s="55"/>
      <c r="H832" s="55"/>
      <c r="J832" s="62"/>
      <c r="K832" s="55"/>
      <c r="L832" s="62"/>
      <c r="S832" s="55"/>
      <c r="Y832" s="55"/>
      <c r="Z832" s="55"/>
      <c r="AA832" s="55"/>
      <c r="AJ832" s="55"/>
    </row>
    <row r="833" ht="15.75" customHeight="1">
      <c r="A833" s="55"/>
      <c r="C833" s="55"/>
      <c r="E833" s="54"/>
      <c r="F833" s="55"/>
      <c r="H833" s="55"/>
      <c r="J833" s="62"/>
      <c r="K833" s="55"/>
      <c r="L833" s="62"/>
      <c r="S833" s="55"/>
      <c r="Y833" s="55"/>
      <c r="Z833" s="55"/>
      <c r="AA833" s="55"/>
      <c r="AJ833" s="55"/>
    </row>
    <row r="834" ht="15.75" customHeight="1">
      <c r="A834" s="55"/>
      <c r="C834" s="55"/>
      <c r="E834" s="54"/>
      <c r="F834" s="55"/>
      <c r="H834" s="55"/>
      <c r="J834" s="62"/>
      <c r="K834" s="55"/>
      <c r="L834" s="62"/>
      <c r="S834" s="55"/>
      <c r="Y834" s="55"/>
      <c r="Z834" s="55"/>
      <c r="AA834" s="55"/>
      <c r="AJ834" s="55"/>
    </row>
    <row r="835" ht="15.75" customHeight="1">
      <c r="A835" s="55"/>
      <c r="C835" s="55"/>
      <c r="E835" s="54"/>
      <c r="F835" s="55"/>
      <c r="H835" s="55"/>
      <c r="J835" s="62"/>
      <c r="K835" s="55"/>
      <c r="L835" s="62"/>
      <c r="S835" s="55"/>
      <c r="Y835" s="55"/>
      <c r="Z835" s="55"/>
      <c r="AA835" s="55"/>
      <c r="AJ835" s="55"/>
    </row>
    <row r="836" ht="15.75" customHeight="1">
      <c r="A836" s="55"/>
      <c r="C836" s="55"/>
      <c r="E836" s="54"/>
      <c r="F836" s="55"/>
      <c r="H836" s="55"/>
      <c r="J836" s="62"/>
      <c r="K836" s="55"/>
      <c r="L836" s="62"/>
      <c r="S836" s="55"/>
      <c r="Y836" s="55"/>
      <c r="Z836" s="55"/>
      <c r="AA836" s="55"/>
      <c r="AJ836" s="55"/>
    </row>
    <row r="837" ht="15.75" customHeight="1">
      <c r="A837" s="55"/>
      <c r="C837" s="55"/>
      <c r="E837" s="54"/>
      <c r="F837" s="55"/>
      <c r="H837" s="55"/>
      <c r="J837" s="62"/>
      <c r="K837" s="55"/>
      <c r="L837" s="62"/>
      <c r="S837" s="55"/>
      <c r="Y837" s="55"/>
      <c r="Z837" s="55"/>
      <c r="AA837" s="55"/>
      <c r="AJ837" s="55"/>
    </row>
    <row r="838" ht="15.75" customHeight="1">
      <c r="A838" s="55"/>
      <c r="C838" s="55"/>
      <c r="E838" s="54"/>
      <c r="F838" s="55"/>
      <c r="H838" s="55"/>
      <c r="J838" s="62"/>
      <c r="K838" s="55"/>
      <c r="L838" s="62"/>
      <c r="S838" s="55"/>
      <c r="Y838" s="55"/>
      <c r="Z838" s="55"/>
      <c r="AA838" s="55"/>
      <c r="AJ838" s="55"/>
    </row>
    <row r="839" ht="15.75" customHeight="1">
      <c r="A839" s="55"/>
      <c r="C839" s="55"/>
      <c r="E839" s="54"/>
      <c r="F839" s="55"/>
      <c r="H839" s="55"/>
      <c r="J839" s="62"/>
      <c r="K839" s="55"/>
      <c r="L839" s="62"/>
      <c r="S839" s="55"/>
      <c r="Y839" s="55"/>
      <c r="Z839" s="55"/>
      <c r="AA839" s="55"/>
      <c r="AJ839" s="55"/>
    </row>
    <row r="840" ht="15.75" customHeight="1">
      <c r="A840" s="55"/>
      <c r="C840" s="55"/>
      <c r="E840" s="54"/>
      <c r="F840" s="55"/>
      <c r="H840" s="55"/>
      <c r="J840" s="62"/>
      <c r="K840" s="55"/>
      <c r="L840" s="62"/>
      <c r="S840" s="55"/>
      <c r="Y840" s="55"/>
      <c r="Z840" s="55"/>
      <c r="AA840" s="55"/>
      <c r="AJ840" s="55"/>
    </row>
    <row r="841" ht="15.75" customHeight="1">
      <c r="A841" s="55"/>
      <c r="C841" s="55"/>
      <c r="E841" s="54"/>
      <c r="F841" s="55"/>
      <c r="H841" s="55"/>
      <c r="J841" s="62"/>
      <c r="K841" s="55"/>
      <c r="L841" s="62"/>
      <c r="S841" s="55"/>
      <c r="Y841" s="55"/>
      <c r="Z841" s="55"/>
      <c r="AA841" s="55"/>
      <c r="AJ841" s="55"/>
    </row>
    <row r="842" ht="15.75" customHeight="1">
      <c r="A842" s="55"/>
      <c r="C842" s="55"/>
      <c r="E842" s="54"/>
      <c r="F842" s="55"/>
      <c r="H842" s="55"/>
      <c r="J842" s="62"/>
      <c r="K842" s="55"/>
      <c r="L842" s="62"/>
      <c r="S842" s="55"/>
      <c r="Y842" s="55"/>
      <c r="Z842" s="55"/>
      <c r="AA842" s="55"/>
      <c r="AJ842" s="55"/>
    </row>
    <row r="843" ht="15.75" customHeight="1">
      <c r="A843" s="55"/>
      <c r="C843" s="55"/>
      <c r="E843" s="54"/>
      <c r="F843" s="55"/>
      <c r="H843" s="55"/>
      <c r="J843" s="62"/>
      <c r="K843" s="55"/>
      <c r="L843" s="62"/>
      <c r="S843" s="55"/>
      <c r="Y843" s="55"/>
      <c r="Z843" s="55"/>
      <c r="AA843" s="55"/>
      <c r="AJ843" s="55"/>
    </row>
    <row r="844" ht="15.75" customHeight="1">
      <c r="A844" s="55"/>
      <c r="C844" s="55"/>
      <c r="E844" s="54"/>
      <c r="F844" s="55"/>
      <c r="H844" s="55"/>
      <c r="J844" s="62"/>
      <c r="K844" s="55"/>
      <c r="L844" s="62"/>
      <c r="S844" s="55"/>
      <c r="Y844" s="55"/>
      <c r="Z844" s="55"/>
      <c r="AA844" s="55"/>
      <c r="AJ844" s="55"/>
    </row>
    <row r="845" ht="15.75" customHeight="1">
      <c r="A845" s="55"/>
      <c r="C845" s="55"/>
      <c r="E845" s="54"/>
      <c r="F845" s="55"/>
      <c r="H845" s="55"/>
      <c r="J845" s="62"/>
      <c r="K845" s="55"/>
      <c r="L845" s="62"/>
      <c r="S845" s="55"/>
      <c r="Y845" s="55"/>
      <c r="Z845" s="55"/>
      <c r="AA845" s="55"/>
      <c r="AJ845" s="55"/>
    </row>
    <row r="846" ht="15.75" customHeight="1">
      <c r="A846" s="55"/>
      <c r="C846" s="55"/>
      <c r="E846" s="54"/>
      <c r="F846" s="55"/>
      <c r="H846" s="55"/>
      <c r="J846" s="62"/>
      <c r="K846" s="55"/>
      <c r="L846" s="62"/>
      <c r="S846" s="55"/>
      <c r="Y846" s="55"/>
      <c r="Z846" s="55"/>
      <c r="AA846" s="55"/>
      <c r="AJ846" s="55"/>
    </row>
    <row r="847" ht="15.75" customHeight="1">
      <c r="A847" s="55"/>
      <c r="C847" s="55"/>
      <c r="E847" s="54"/>
      <c r="F847" s="55"/>
      <c r="H847" s="55"/>
      <c r="J847" s="62"/>
      <c r="K847" s="55"/>
      <c r="L847" s="62"/>
      <c r="S847" s="55"/>
      <c r="Y847" s="55"/>
      <c r="Z847" s="55"/>
      <c r="AA847" s="55"/>
      <c r="AJ847" s="55"/>
    </row>
    <row r="848" ht="15.75" customHeight="1">
      <c r="A848" s="55"/>
      <c r="C848" s="55"/>
      <c r="E848" s="54"/>
      <c r="F848" s="55"/>
      <c r="H848" s="55"/>
      <c r="J848" s="62"/>
      <c r="K848" s="55"/>
      <c r="L848" s="62"/>
      <c r="S848" s="55"/>
      <c r="Y848" s="55"/>
      <c r="Z848" s="55"/>
      <c r="AA848" s="55"/>
      <c r="AJ848" s="55"/>
    </row>
    <row r="849" ht="15.75" customHeight="1">
      <c r="A849" s="55"/>
      <c r="C849" s="55"/>
      <c r="E849" s="54"/>
      <c r="F849" s="55"/>
      <c r="H849" s="55"/>
      <c r="J849" s="62"/>
      <c r="K849" s="55"/>
      <c r="L849" s="62"/>
      <c r="S849" s="55"/>
      <c r="Y849" s="55"/>
      <c r="Z849" s="55"/>
      <c r="AA849" s="55"/>
      <c r="AJ849" s="55"/>
    </row>
    <row r="850" ht="15.75" customHeight="1">
      <c r="A850" s="55"/>
      <c r="C850" s="55"/>
      <c r="E850" s="54"/>
      <c r="F850" s="55"/>
      <c r="H850" s="55"/>
      <c r="J850" s="62"/>
      <c r="K850" s="55"/>
      <c r="L850" s="62"/>
      <c r="S850" s="55"/>
      <c r="Y850" s="55"/>
      <c r="Z850" s="55"/>
      <c r="AA850" s="55"/>
      <c r="AJ850" s="55"/>
    </row>
    <row r="851" ht="15.75" customHeight="1">
      <c r="A851" s="55"/>
      <c r="C851" s="55"/>
      <c r="E851" s="54"/>
      <c r="F851" s="55"/>
      <c r="H851" s="55"/>
      <c r="J851" s="62"/>
      <c r="K851" s="55"/>
      <c r="L851" s="62"/>
      <c r="S851" s="55"/>
      <c r="Y851" s="55"/>
      <c r="Z851" s="55"/>
      <c r="AA851" s="55"/>
      <c r="AJ851" s="55"/>
    </row>
    <row r="852" ht="15.75" customHeight="1">
      <c r="A852" s="55"/>
      <c r="C852" s="55"/>
      <c r="E852" s="54"/>
      <c r="F852" s="55"/>
      <c r="H852" s="55"/>
      <c r="J852" s="62"/>
      <c r="K852" s="55"/>
      <c r="L852" s="62"/>
      <c r="S852" s="55"/>
      <c r="Y852" s="55"/>
      <c r="Z852" s="55"/>
      <c r="AA852" s="55"/>
      <c r="AJ852" s="55"/>
    </row>
    <row r="853" ht="15.75" customHeight="1">
      <c r="A853" s="55"/>
      <c r="C853" s="55"/>
      <c r="E853" s="54"/>
      <c r="F853" s="55"/>
      <c r="H853" s="55"/>
      <c r="J853" s="62"/>
      <c r="K853" s="55"/>
      <c r="L853" s="62"/>
      <c r="S853" s="55"/>
      <c r="Y853" s="55"/>
      <c r="Z853" s="55"/>
      <c r="AA853" s="55"/>
      <c r="AJ853" s="55"/>
    </row>
    <row r="854" ht="15.75" customHeight="1">
      <c r="A854" s="55"/>
      <c r="C854" s="55"/>
      <c r="E854" s="54"/>
      <c r="F854" s="55"/>
      <c r="H854" s="55"/>
      <c r="J854" s="62"/>
      <c r="K854" s="55"/>
      <c r="L854" s="62"/>
      <c r="S854" s="55"/>
      <c r="Y854" s="55"/>
      <c r="Z854" s="55"/>
      <c r="AA854" s="55"/>
      <c r="AJ854" s="55"/>
    </row>
    <row r="855" ht="15.75" customHeight="1">
      <c r="A855" s="55"/>
      <c r="C855" s="55"/>
      <c r="E855" s="54"/>
      <c r="F855" s="55"/>
      <c r="H855" s="55"/>
      <c r="J855" s="62"/>
      <c r="K855" s="55"/>
      <c r="L855" s="62"/>
      <c r="S855" s="55"/>
      <c r="Y855" s="55"/>
      <c r="Z855" s="55"/>
      <c r="AA855" s="55"/>
      <c r="AJ855" s="55"/>
    </row>
    <row r="856" ht="15.75" customHeight="1">
      <c r="A856" s="55"/>
      <c r="C856" s="55"/>
      <c r="E856" s="54"/>
      <c r="F856" s="55"/>
      <c r="H856" s="55"/>
      <c r="J856" s="62"/>
      <c r="K856" s="55"/>
      <c r="L856" s="62"/>
      <c r="S856" s="55"/>
      <c r="Y856" s="55"/>
      <c r="Z856" s="55"/>
      <c r="AA856" s="55"/>
      <c r="AJ856" s="55"/>
    </row>
    <row r="857" ht="15.75" customHeight="1">
      <c r="A857" s="55"/>
      <c r="C857" s="55"/>
      <c r="E857" s="54"/>
      <c r="F857" s="55"/>
      <c r="H857" s="55"/>
      <c r="J857" s="62"/>
      <c r="K857" s="55"/>
      <c r="L857" s="62"/>
      <c r="S857" s="55"/>
      <c r="Y857" s="55"/>
      <c r="Z857" s="55"/>
      <c r="AA857" s="55"/>
      <c r="AJ857" s="55"/>
    </row>
    <row r="858" ht="15.75" customHeight="1">
      <c r="A858" s="55"/>
      <c r="C858" s="55"/>
      <c r="E858" s="54"/>
      <c r="F858" s="55"/>
      <c r="H858" s="55"/>
      <c r="J858" s="62"/>
      <c r="K858" s="55"/>
      <c r="L858" s="62"/>
      <c r="S858" s="55"/>
      <c r="Y858" s="55"/>
      <c r="Z858" s="55"/>
      <c r="AA858" s="55"/>
      <c r="AJ858" s="55"/>
    </row>
    <row r="859" ht="15.75" customHeight="1">
      <c r="A859" s="55"/>
      <c r="C859" s="55"/>
      <c r="E859" s="54"/>
      <c r="F859" s="55"/>
      <c r="H859" s="55"/>
      <c r="J859" s="62"/>
      <c r="K859" s="55"/>
      <c r="L859" s="62"/>
      <c r="S859" s="55"/>
      <c r="Y859" s="55"/>
      <c r="Z859" s="55"/>
      <c r="AA859" s="55"/>
      <c r="AJ859" s="55"/>
    </row>
    <row r="860" ht="15.75" customHeight="1">
      <c r="A860" s="55"/>
      <c r="C860" s="55"/>
      <c r="E860" s="54"/>
      <c r="F860" s="55"/>
      <c r="H860" s="55"/>
      <c r="J860" s="62"/>
      <c r="K860" s="55"/>
      <c r="L860" s="62"/>
      <c r="S860" s="55"/>
      <c r="Y860" s="55"/>
      <c r="Z860" s="55"/>
      <c r="AA860" s="55"/>
      <c r="AJ860" s="55"/>
    </row>
    <row r="861" ht="15.75" customHeight="1">
      <c r="A861" s="55"/>
      <c r="C861" s="55"/>
      <c r="E861" s="54"/>
      <c r="F861" s="55"/>
      <c r="H861" s="55"/>
      <c r="J861" s="62"/>
      <c r="K861" s="55"/>
      <c r="L861" s="62"/>
      <c r="S861" s="55"/>
      <c r="Y861" s="55"/>
      <c r="Z861" s="55"/>
      <c r="AA861" s="55"/>
      <c r="AJ861" s="55"/>
    </row>
    <row r="862" ht="15.75" customHeight="1">
      <c r="A862" s="55"/>
      <c r="C862" s="55"/>
      <c r="E862" s="54"/>
      <c r="F862" s="55"/>
      <c r="H862" s="55"/>
      <c r="J862" s="62"/>
      <c r="K862" s="55"/>
      <c r="L862" s="62"/>
      <c r="S862" s="55"/>
      <c r="Y862" s="55"/>
      <c r="Z862" s="55"/>
      <c r="AA862" s="55"/>
      <c r="AJ862" s="55"/>
    </row>
    <row r="863" ht="15.75" customHeight="1">
      <c r="A863" s="55"/>
      <c r="C863" s="55"/>
      <c r="E863" s="54"/>
      <c r="F863" s="55"/>
      <c r="H863" s="55"/>
      <c r="J863" s="62"/>
      <c r="K863" s="55"/>
      <c r="L863" s="62"/>
      <c r="S863" s="55"/>
      <c r="Y863" s="55"/>
      <c r="Z863" s="55"/>
      <c r="AA863" s="55"/>
      <c r="AJ863" s="55"/>
    </row>
    <row r="864" ht="15.75" customHeight="1">
      <c r="A864" s="55"/>
      <c r="C864" s="55"/>
      <c r="E864" s="54"/>
      <c r="F864" s="55"/>
      <c r="H864" s="55"/>
      <c r="J864" s="62"/>
      <c r="K864" s="55"/>
      <c r="L864" s="62"/>
      <c r="S864" s="55"/>
      <c r="Y864" s="55"/>
      <c r="Z864" s="55"/>
      <c r="AA864" s="55"/>
      <c r="AJ864" s="55"/>
    </row>
    <row r="865" ht="15.75" customHeight="1">
      <c r="A865" s="55"/>
      <c r="C865" s="55"/>
      <c r="E865" s="54"/>
      <c r="F865" s="55"/>
      <c r="H865" s="55"/>
      <c r="J865" s="62"/>
      <c r="K865" s="55"/>
      <c r="L865" s="62"/>
      <c r="S865" s="55"/>
      <c r="Y865" s="55"/>
      <c r="Z865" s="55"/>
      <c r="AA865" s="55"/>
      <c r="AJ865" s="55"/>
    </row>
    <row r="866" ht="15.75" customHeight="1">
      <c r="A866" s="55"/>
      <c r="C866" s="55"/>
      <c r="E866" s="54"/>
      <c r="F866" s="55"/>
      <c r="H866" s="55"/>
      <c r="J866" s="62"/>
      <c r="K866" s="55"/>
      <c r="L866" s="62"/>
      <c r="S866" s="55"/>
      <c r="Y866" s="55"/>
      <c r="Z866" s="55"/>
      <c r="AA866" s="55"/>
      <c r="AJ866" s="55"/>
    </row>
    <row r="867" ht="15.75" customHeight="1">
      <c r="A867" s="55"/>
      <c r="C867" s="55"/>
      <c r="E867" s="54"/>
      <c r="F867" s="55"/>
      <c r="H867" s="55"/>
      <c r="J867" s="62"/>
      <c r="K867" s="55"/>
      <c r="L867" s="62"/>
      <c r="S867" s="55"/>
      <c r="Y867" s="55"/>
      <c r="Z867" s="55"/>
      <c r="AA867" s="55"/>
      <c r="AJ867" s="55"/>
    </row>
    <row r="868" ht="15.75" customHeight="1">
      <c r="A868" s="55"/>
      <c r="C868" s="55"/>
      <c r="E868" s="54"/>
      <c r="F868" s="55"/>
      <c r="H868" s="55"/>
      <c r="J868" s="62"/>
      <c r="K868" s="55"/>
      <c r="L868" s="62"/>
      <c r="S868" s="55"/>
      <c r="Y868" s="55"/>
      <c r="Z868" s="55"/>
      <c r="AA868" s="55"/>
      <c r="AJ868" s="55"/>
    </row>
    <row r="869" ht="15.75" customHeight="1">
      <c r="A869" s="55"/>
      <c r="C869" s="55"/>
      <c r="E869" s="54"/>
      <c r="F869" s="55"/>
      <c r="H869" s="55"/>
      <c r="J869" s="62"/>
      <c r="K869" s="55"/>
      <c r="L869" s="62"/>
      <c r="S869" s="55"/>
      <c r="Y869" s="55"/>
      <c r="Z869" s="55"/>
      <c r="AA869" s="55"/>
      <c r="AJ869" s="55"/>
    </row>
    <row r="870" ht="15.75" customHeight="1">
      <c r="A870" s="55"/>
      <c r="C870" s="55"/>
      <c r="E870" s="54"/>
      <c r="F870" s="55"/>
      <c r="H870" s="55"/>
      <c r="J870" s="62"/>
      <c r="K870" s="55"/>
      <c r="L870" s="62"/>
      <c r="S870" s="55"/>
      <c r="Y870" s="55"/>
      <c r="Z870" s="55"/>
      <c r="AA870" s="55"/>
      <c r="AJ870" s="55"/>
    </row>
    <row r="871" ht="15.75" customHeight="1">
      <c r="A871" s="55"/>
      <c r="C871" s="55"/>
      <c r="E871" s="54"/>
      <c r="F871" s="55"/>
      <c r="H871" s="55"/>
      <c r="J871" s="62"/>
      <c r="K871" s="55"/>
      <c r="L871" s="62"/>
      <c r="S871" s="55"/>
      <c r="Y871" s="55"/>
      <c r="Z871" s="55"/>
      <c r="AA871" s="55"/>
      <c r="AJ871" s="55"/>
    </row>
    <row r="872" ht="15.75" customHeight="1">
      <c r="A872" s="55"/>
      <c r="C872" s="55"/>
      <c r="E872" s="54"/>
      <c r="F872" s="55"/>
      <c r="H872" s="55"/>
      <c r="J872" s="62"/>
      <c r="K872" s="55"/>
      <c r="L872" s="62"/>
      <c r="S872" s="55"/>
      <c r="Y872" s="55"/>
      <c r="Z872" s="55"/>
      <c r="AA872" s="55"/>
      <c r="AJ872" s="55"/>
    </row>
    <row r="873" ht="15.75" customHeight="1">
      <c r="A873" s="55"/>
      <c r="C873" s="55"/>
      <c r="E873" s="54"/>
      <c r="F873" s="55"/>
      <c r="H873" s="55"/>
      <c r="J873" s="62"/>
      <c r="K873" s="55"/>
      <c r="L873" s="62"/>
      <c r="S873" s="55"/>
      <c r="Y873" s="55"/>
      <c r="Z873" s="55"/>
      <c r="AA873" s="55"/>
      <c r="AJ873" s="55"/>
    </row>
    <row r="874" ht="15.75" customHeight="1">
      <c r="A874" s="55"/>
      <c r="C874" s="55"/>
      <c r="E874" s="54"/>
      <c r="F874" s="55"/>
      <c r="H874" s="55"/>
      <c r="J874" s="62"/>
      <c r="K874" s="55"/>
      <c r="L874" s="62"/>
      <c r="S874" s="55"/>
      <c r="Y874" s="55"/>
      <c r="Z874" s="55"/>
      <c r="AA874" s="55"/>
      <c r="AJ874" s="55"/>
    </row>
    <row r="875" ht="15.75" customHeight="1">
      <c r="A875" s="55"/>
      <c r="C875" s="55"/>
      <c r="E875" s="54"/>
      <c r="F875" s="55"/>
      <c r="H875" s="55"/>
      <c r="J875" s="62"/>
      <c r="K875" s="55"/>
      <c r="L875" s="62"/>
      <c r="S875" s="55"/>
      <c r="Y875" s="55"/>
      <c r="Z875" s="55"/>
      <c r="AA875" s="55"/>
      <c r="AJ875" s="55"/>
    </row>
    <row r="876" ht="15.75" customHeight="1">
      <c r="A876" s="55"/>
      <c r="C876" s="55"/>
      <c r="E876" s="54"/>
      <c r="F876" s="55"/>
      <c r="H876" s="55"/>
      <c r="J876" s="62"/>
      <c r="K876" s="55"/>
      <c r="L876" s="62"/>
      <c r="S876" s="55"/>
      <c r="Y876" s="55"/>
      <c r="Z876" s="55"/>
      <c r="AA876" s="55"/>
      <c r="AJ876" s="55"/>
    </row>
    <row r="877" ht="15.75" customHeight="1">
      <c r="A877" s="55"/>
      <c r="C877" s="55"/>
      <c r="E877" s="54"/>
      <c r="F877" s="55"/>
      <c r="H877" s="55"/>
      <c r="J877" s="62"/>
      <c r="K877" s="55"/>
      <c r="L877" s="62"/>
      <c r="S877" s="55"/>
      <c r="Y877" s="55"/>
      <c r="Z877" s="55"/>
      <c r="AA877" s="55"/>
      <c r="AJ877" s="55"/>
    </row>
    <row r="878" ht="15.75" customHeight="1">
      <c r="A878" s="55"/>
      <c r="C878" s="55"/>
      <c r="E878" s="54"/>
      <c r="F878" s="55"/>
      <c r="H878" s="55"/>
      <c r="J878" s="62"/>
      <c r="K878" s="55"/>
      <c r="L878" s="62"/>
      <c r="S878" s="55"/>
      <c r="Y878" s="55"/>
      <c r="Z878" s="55"/>
      <c r="AA878" s="55"/>
      <c r="AJ878" s="55"/>
    </row>
    <row r="879" ht="15.75" customHeight="1">
      <c r="A879" s="55"/>
      <c r="C879" s="55"/>
      <c r="E879" s="54"/>
      <c r="F879" s="55"/>
      <c r="H879" s="55"/>
      <c r="J879" s="62"/>
      <c r="K879" s="55"/>
      <c r="L879" s="62"/>
      <c r="S879" s="55"/>
      <c r="Y879" s="55"/>
      <c r="Z879" s="55"/>
      <c r="AA879" s="55"/>
      <c r="AJ879" s="55"/>
    </row>
    <row r="880" ht="15.75" customHeight="1">
      <c r="A880" s="55"/>
      <c r="C880" s="55"/>
      <c r="E880" s="54"/>
      <c r="F880" s="55"/>
      <c r="H880" s="55"/>
      <c r="J880" s="62"/>
      <c r="K880" s="55"/>
      <c r="L880" s="62"/>
      <c r="S880" s="55"/>
      <c r="Y880" s="55"/>
      <c r="Z880" s="55"/>
      <c r="AA880" s="55"/>
      <c r="AJ880" s="55"/>
    </row>
    <row r="881" ht="15.75" customHeight="1">
      <c r="A881" s="55"/>
      <c r="C881" s="55"/>
      <c r="E881" s="54"/>
      <c r="F881" s="55"/>
      <c r="H881" s="55"/>
      <c r="J881" s="62"/>
      <c r="K881" s="55"/>
      <c r="L881" s="62"/>
      <c r="S881" s="55"/>
      <c r="Y881" s="55"/>
      <c r="Z881" s="55"/>
      <c r="AA881" s="55"/>
      <c r="AJ881" s="55"/>
    </row>
    <row r="882" ht="15.75" customHeight="1">
      <c r="A882" s="55"/>
      <c r="C882" s="55"/>
      <c r="E882" s="54"/>
      <c r="F882" s="55"/>
      <c r="H882" s="55"/>
      <c r="J882" s="62"/>
      <c r="K882" s="55"/>
      <c r="L882" s="62"/>
      <c r="S882" s="55"/>
      <c r="Y882" s="55"/>
      <c r="Z882" s="55"/>
      <c r="AA882" s="55"/>
      <c r="AJ882" s="55"/>
    </row>
    <row r="883" ht="15.75" customHeight="1">
      <c r="A883" s="55"/>
      <c r="C883" s="55"/>
      <c r="E883" s="54"/>
      <c r="F883" s="55"/>
      <c r="H883" s="55"/>
      <c r="J883" s="62"/>
      <c r="K883" s="55"/>
      <c r="L883" s="62"/>
      <c r="S883" s="55"/>
      <c r="Y883" s="55"/>
      <c r="Z883" s="55"/>
      <c r="AA883" s="55"/>
      <c r="AJ883" s="55"/>
    </row>
    <row r="884" ht="15.75" customHeight="1">
      <c r="A884" s="55"/>
      <c r="C884" s="55"/>
      <c r="E884" s="54"/>
      <c r="F884" s="55"/>
      <c r="H884" s="55"/>
      <c r="J884" s="62"/>
      <c r="K884" s="55"/>
      <c r="L884" s="62"/>
      <c r="S884" s="55"/>
      <c r="Y884" s="55"/>
      <c r="Z884" s="55"/>
      <c r="AA884" s="55"/>
      <c r="AJ884" s="55"/>
    </row>
    <row r="885" ht="15.75" customHeight="1">
      <c r="A885" s="55"/>
      <c r="C885" s="55"/>
      <c r="E885" s="54"/>
      <c r="F885" s="55"/>
      <c r="H885" s="55"/>
      <c r="J885" s="62"/>
      <c r="K885" s="55"/>
      <c r="L885" s="62"/>
      <c r="S885" s="55"/>
      <c r="Y885" s="55"/>
      <c r="Z885" s="55"/>
      <c r="AA885" s="55"/>
      <c r="AJ885" s="55"/>
    </row>
    <row r="886" ht="15.75" customHeight="1">
      <c r="A886" s="55"/>
      <c r="C886" s="55"/>
      <c r="E886" s="54"/>
      <c r="F886" s="55"/>
      <c r="H886" s="55"/>
      <c r="J886" s="62"/>
      <c r="K886" s="55"/>
      <c r="L886" s="62"/>
      <c r="S886" s="55"/>
      <c r="Y886" s="55"/>
      <c r="Z886" s="55"/>
      <c r="AA886" s="55"/>
      <c r="AJ886" s="55"/>
    </row>
    <row r="887" ht="15.75" customHeight="1">
      <c r="A887" s="55"/>
      <c r="C887" s="55"/>
      <c r="E887" s="54"/>
      <c r="F887" s="55"/>
      <c r="H887" s="55"/>
      <c r="J887" s="62"/>
      <c r="K887" s="55"/>
      <c r="L887" s="62"/>
      <c r="S887" s="55"/>
      <c r="Y887" s="55"/>
      <c r="Z887" s="55"/>
      <c r="AA887" s="55"/>
      <c r="AJ887" s="55"/>
    </row>
    <row r="888" ht="15.75" customHeight="1">
      <c r="A888" s="55"/>
      <c r="C888" s="55"/>
      <c r="E888" s="54"/>
      <c r="F888" s="55"/>
      <c r="H888" s="55"/>
      <c r="J888" s="62"/>
      <c r="K888" s="55"/>
      <c r="L888" s="62"/>
      <c r="S888" s="55"/>
      <c r="Y888" s="55"/>
      <c r="Z888" s="55"/>
      <c r="AA888" s="55"/>
      <c r="AJ888" s="55"/>
    </row>
    <row r="889" ht="15.75" customHeight="1">
      <c r="A889" s="55"/>
      <c r="C889" s="55"/>
      <c r="E889" s="54"/>
      <c r="F889" s="55"/>
      <c r="H889" s="55"/>
      <c r="J889" s="62"/>
      <c r="K889" s="55"/>
      <c r="L889" s="62"/>
      <c r="S889" s="55"/>
      <c r="Y889" s="55"/>
      <c r="Z889" s="55"/>
      <c r="AA889" s="55"/>
      <c r="AJ889" s="55"/>
    </row>
    <row r="890" ht="15.75" customHeight="1">
      <c r="A890" s="55"/>
      <c r="C890" s="55"/>
      <c r="E890" s="54"/>
      <c r="F890" s="55"/>
      <c r="H890" s="55"/>
      <c r="J890" s="62"/>
      <c r="K890" s="55"/>
      <c r="L890" s="62"/>
      <c r="S890" s="55"/>
      <c r="Y890" s="55"/>
      <c r="Z890" s="55"/>
      <c r="AA890" s="55"/>
      <c r="AJ890" s="55"/>
    </row>
    <row r="891" ht="15.75" customHeight="1">
      <c r="A891" s="55"/>
      <c r="C891" s="55"/>
      <c r="E891" s="54"/>
      <c r="F891" s="55"/>
      <c r="H891" s="55"/>
      <c r="J891" s="62"/>
      <c r="K891" s="55"/>
      <c r="L891" s="62"/>
      <c r="S891" s="55"/>
      <c r="Y891" s="55"/>
      <c r="Z891" s="55"/>
      <c r="AA891" s="55"/>
      <c r="AJ891" s="55"/>
    </row>
    <row r="892" ht="15.75" customHeight="1">
      <c r="A892" s="55"/>
      <c r="C892" s="55"/>
      <c r="E892" s="54"/>
      <c r="F892" s="55"/>
      <c r="H892" s="55"/>
      <c r="J892" s="62"/>
      <c r="K892" s="55"/>
      <c r="L892" s="62"/>
      <c r="S892" s="55"/>
      <c r="Y892" s="55"/>
      <c r="Z892" s="55"/>
      <c r="AA892" s="55"/>
      <c r="AJ892" s="55"/>
    </row>
    <row r="893" ht="15.75" customHeight="1">
      <c r="A893" s="55"/>
      <c r="C893" s="55"/>
      <c r="E893" s="54"/>
      <c r="F893" s="55"/>
      <c r="H893" s="55"/>
      <c r="J893" s="62"/>
      <c r="K893" s="55"/>
      <c r="L893" s="62"/>
      <c r="S893" s="55"/>
      <c r="Y893" s="55"/>
      <c r="Z893" s="55"/>
      <c r="AA893" s="55"/>
      <c r="AJ893" s="55"/>
    </row>
    <row r="894" ht="15.75" customHeight="1">
      <c r="A894" s="55"/>
      <c r="C894" s="55"/>
      <c r="E894" s="54"/>
      <c r="F894" s="55"/>
      <c r="H894" s="55"/>
      <c r="J894" s="62"/>
      <c r="K894" s="55"/>
      <c r="L894" s="62"/>
      <c r="S894" s="55"/>
      <c r="Y894" s="55"/>
      <c r="Z894" s="55"/>
      <c r="AA894" s="55"/>
      <c r="AJ894" s="55"/>
    </row>
    <row r="895" ht="15.75" customHeight="1">
      <c r="A895" s="55"/>
      <c r="C895" s="55"/>
      <c r="E895" s="54"/>
      <c r="F895" s="55"/>
      <c r="H895" s="55"/>
      <c r="J895" s="62"/>
      <c r="K895" s="55"/>
      <c r="L895" s="62"/>
      <c r="S895" s="55"/>
      <c r="Y895" s="55"/>
      <c r="Z895" s="55"/>
      <c r="AA895" s="55"/>
      <c r="AJ895" s="55"/>
    </row>
    <row r="896" ht="15.75" customHeight="1">
      <c r="A896" s="55"/>
      <c r="C896" s="55"/>
      <c r="E896" s="54"/>
      <c r="F896" s="55"/>
      <c r="H896" s="55"/>
      <c r="J896" s="62"/>
      <c r="K896" s="55"/>
      <c r="L896" s="62"/>
      <c r="S896" s="55"/>
      <c r="Y896" s="55"/>
      <c r="Z896" s="55"/>
      <c r="AA896" s="55"/>
      <c r="AJ896" s="55"/>
    </row>
    <row r="897" ht="15.75" customHeight="1">
      <c r="A897" s="55"/>
      <c r="C897" s="55"/>
      <c r="E897" s="54"/>
      <c r="F897" s="55"/>
      <c r="H897" s="55"/>
      <c r="J897" s="62"/>
      <c r="K897" s="55"/>
      <c r="L897" s="62"/>
      <c r="S897" s="55"/>
      <c r="Y897" s="55"/>
      <c r="Z897" s="55"/>
      <c r="AA897" s="55"/>
      <c r="AJ897" s="55"/>
    </row>
    <row r="898" ht="15.75" customHeight="1">
      <c r="A898" s="55"/>
      <c r="C898" s="55"/>
      <c r="E898" s="54"/>
      <c r="F898" s="55"/>
      <c r="H898" s="55"/>
      <c r="J898" s="62"/>
      <c r="K898" s="55"/>
      <c r="L898" s="62"/>
      <c r="S898" s="55"/>
      <c r="Y898" s="55"/>
      <c r="Z898" s="55"/>
      <c r="AA898" s="55"/>
      <c r="AJ898" s="55"/>
    </row>
    <row r="899" ht="15.75" customHeight="1">
      <c r="A899" s="55"/>
      <c r="C899" s="55"/>
      <c r="E899" s="54"/>
      <c r="F899" s="55"/>
      <c r="H899" s="55"/>
      <c r="J899" s="62"/>
      <c r="K899" s="55"/>
      <c r="L899" s="62"/>
      <c r="S899" s="55"/>
      <c r="Y899" s="55"/>
      <c r="Z899" s="55"/>
      <c r="AA899" s="55"/>
      <c r="AJ899" s="55"/>
    </row>
    <row r="900" ht="15.75" customHeight="1">
      <c r="A900" s="55"/>
      <c r="C900" s="55"/>
      <c r="E900" s="54"/>
      <c r="F900" s="55"/>
      <c r="H900" s="55"/>
      <c r="J900" s="62"/>
      <c r="K900" s="55"/>
      <c r="L900" s="62"/>
      <c r="S900" s="55"/>
      <c r="Y900" s="55"/>
      <c r="Z900" s="55"/>
      <c r="AA900" s="55"/>
      <c r="AJ900" s="55"/>
    </row>
    <row r="901" ht="15.75" customHeight="1">
      <c r="A901" s="55"/>
      <c r="C901" s="55"/>
      <c r="E901" s="54"/>
      <c r="F901" s="55"/>
      <c r="H901" s="55"/>
      <c r="J901" s="62"/>
      <c r="K901" s="55"/>
      <c r="L901" s="62"/>
      <c r="S901" s="55"/>
      <c r="Y901" s="55"/>
      <c r="Z901" s="55"/>
      <c r="AA901" s="55"/>
      <c r="AJ901" s="55"/>
    </row>
    <row r="902" ht="15.75" customHeight="1">
      <c r="A902" s="55"/>
      <c r="C902" s="55"/>
      <c r="E902" s="54"/>
      <c r="F902" s="55"/>
      <c r="H902" s="55"/>
      <c r="J902" s="62"/>
      <c r="K902" s="55"/>
      <c r="L902" s="62"/>
      <c r="S902" s="55"/>
      <c r="Y902" s="55"/>
      <c r="Z902" s="55"/>
      <c r="AA902" s="55"/>
      <c r="AJ902" s="55"/>
    </row>
    <row r="903" ht="15.75" customHeight="1">
      <c r="A903" s="55"/>
      <c r="C903" s="55"/>
      <c r="E903" s="54"/>
      <c r="F903" s="55"/>
      <c r="H903" s="55"/>
      <c r="J903" s="62"/>
      <c r="K903" s="55"/>
      <c r="L903" s="62"/>
      <c r="S903" s="55"/>
      <c r="Y903" s="55"/>
      <c r="Z903" s="55"/>
      <c r="AA903" s="55"/>
      <c r="AJ903" s="55"/>
    </row>
    <row r="904" ht="15.75" customHeight="1">
      <c r="A904" s="55"/>
      <c r="C904" s="55"/>
      <c r="E904" s="54"/>
      <c r="F904" s="55"/>
      <c r="H904" s="55"/>
      <c r="J904" s="62"/>
      <c r="K904" s="55"/>
      <c r="L904" s="62"/>
      <c r="S904" s="55"/>
      <c r="Y904" s="55"/>
      <c r="Z904" s="55"/>
      <c r="AA904" s="55"/>
      <c r="AJ904" s="55"/>
    </row>
    <row r="905" ht="15.75" customHeight="1">
      <c r="A905" s="55"/>
      <c r="C905" s="55"/>
      <c r="E905" s="54"/>
      <c r="F905" s="55"/>
      <c r="H905" s="55"/>
      <c r="J905" s="62"/>
      <c r="K905" s="55"/>
      <c r="L905" s="62"/>
      <c r="S905" s="55"/>
      <c r="Y905" s="55"/>
      <c r="Z905" s="55"/>
      <c r="AA905" s="55"/>
      <c r="AJ905" s="55"/>
    </row>
    <row r="906" ht="15.75" customHeight="1">
      <c r="A906" s="55"/>
      <c r="C906" s="55"/>
      <c r="E906" s="54"/>
      <c r="F906" s="55"/>
      <c r="H906" s="55"/>
      <c r="J906" s="62"/>
      <c r="K906" s="55"/>
      <c r="L906" s="62"/>
      <c r="S906" s="55"/>
      <c r="Y906" s="55"/>
      <c r="Z906" s="55"/>
      <c r="AA906" s="55"/>
      <c r="AJ906" s="55"/>
    </row>
    <row r="907" ht="15.75" customHeight="1">
      <c r="A907" s="55"/>
      <c r="C907" s="55"/>
      <c r="E907" s="54"/>
      <c r="F907" s="55"/>
      <c r="H907" s="55"/>
      <c r="J907" s="62"/>
      <c r="K907" s="55"/>
      <c r="L907" s="62"/>
      <c r="S907" s="55"/>
      <c r="Y907" s="55"/>
      <c r="Z907" s="55"/>
      <c r="AA907" s="55"/>
      <c r="AJ907" s="55"/>
    </row>
    <row r="908" ht="15.75" customHeight="1">
      <c r="A908" s="55"/>
      <c r="C908" s="55"/>
      <c r="E908" s="54"/>
      <c r="F908" s="55"/>
      <c r="H908" s="55"/>
      <c r="J908" s="62"/>
      <c r="K908" s="55"/>
      <c r="L908" s="62"/>
      <c r="S908" s="55"/>
      <c r="Y908" s="55"/>
      <c r="Z908" s="55"/>
      <c r="AA908" s="55"/>
      <c r="AJ908" s="55"/>
    </row>
    <row r="909" ht="15.75" customHeight="1">
      <c r="A909" s="55"/>
      <c r="C909" s="55"/>
      <c r="E909" s="54"/>
      <c r="F909" s="55"/>
      <c r="H909" s="55"/>
      <c r="J909" s="62"/>
      <c r="K909" s="55"/>
      <c r="L909" s="62"/>
      <c r="S909" s="55"/>
      <c r="Y909" s="55"/>
      <c r="Z909" s="55"/>
      <c r="AA909" s="55"/>
      <c r="AJ909" s="55"/>
    </row>
    <row r="910" ht="15.75" customHeight="1">
      <c r="A910" s="55"/>
      <c r="C910" s="55"/>
      <c r="E910" s="54"/>
      <c r="F910" s="55"/>
      <c r="H910" s="55"/>
      <c r="J910" s="62"/>
      <c r="K910" s="55"/>
      <c r="L910" s="62"/>
      <c r="S910" s="55"/>
      <c r="Y910" s="55"/>
      <c r="Z910" s="55"/>
      <c r="AA910" s="55"/>
      <c r="AJ910" s="55"/>
    </row>
    <row r="911" ht="15.75" customHeight="1">
      <c r="A911" s="55"/>
      <c r="C911" s="55"/>
      <c r="E911" s="54"/>
      <c r="F911" s="55"/>
      <c r="H911" s="55"/>
      <c r="J911" s="62"/>
      <c r="K911" s="55"/>
      <c r="L911" s="62"/>
      <c r="S911" s="55"/>
      <c r="Y911" s="55"/>
      <c r="Z911" s="55"/>
      <c r="AA911" s="55"/>
      <c r="AJ911" s="55"/>
    </row>
    <row r="912" ht="15.75" customHeight="1">
      <c r="A912" s="55"/>
      <c r="C912" s="55"/>
      <c r="E912" s="54"/>
      <c r="F912" s="55"/>
      <c r="H912" s="55"/>
      <c r="J912" s="62"/>
      <c r="K912" s="55"/>
      <c r="L912" s="62"/>
      <c r="S912" s="55"/>
      <c r="Y912" s="55"/>
      <c r="Z912" s="55"/>
      <c r="AA912" s="55"/>
      <c r="AJ912" s="55"/>
    </row>
    <row r="913" ht="15.75" customHeight="1">
      <c r="A913" s="55"/>
      <c r="C913" s="55"/>
      <c r="E913" s="54"/>
      <c r="F913" s="55"/>
      <c r="H913" s="55"/>
      <c r="J913" s="62"/>
      <c r="K913" s="55"/>
      <c r="L913" s="62"/>
      <c r="S913" s="55"/>
      <c r="Y913" s="55"/>
      <c r="Z913" s="55"/>
      <c r="AA913" s="55"/>
      <c r="AJ913" s="55"/>
    </row>
    <row r="914" ht="15.75" customHeight="1">
      <c r="A914" s="55"/>
      <c r="C914" s="55"/>
      <c r="E914" s="54"/>
      <c r="F914" s="55"/>
      <c r="H914" s="55"/>
      <c r="J914" s="62"/>
      <c r="K914" s="55"/>
      <c r="L914" s="62"/>
      <c r="S914" s="55"/>
      <c r="Y914" s="55"/>
      <c r="Z914" s="55"/>
      <c r="AA914" s="55"/>
      <c r="AJ914" s="55"/>
    </row>
    <row r="915" ht="15.75" customHeight="1">
      <c r="A915" s="55"/>
      <c r="C915" s="55"/>
      <c r="E915" s="54"/>
      <c r="F915" s="55"/>
      <c r="H915" s="55"/>
      <c r="J915" s="62"/>
      <c r="K915" s="55"/>
      <c r="L915" s="62"/>
      <c r="S915" s="55"/>
      <c r="Y915" s="55"/>
      <c r="Z915" s="55"/>
      <c r="AA915" s="55"/>
      <c r="AJ915" s="55"/>
    </row>
    <row r="916" ht="15.75" customHeight="1">
      <c r="A916" s="55"/>
      <c r="C916" s="55"/>
      <c r="E916" s="54"/>
      <c r="F916" s="55"/>
      <c r="H916" s="55"/>
      <c r="J916" s="62"/>
      <c r="K916" s="55"/>
      <c r="L916" s="62"/>
      <c r="S916" s="55"/>
      <c r="Y916" s="55"/>
      <c r="Z916" s="55"/>
      <c r="AA916" s="55"/>
      <c r="AJ916" s="55"/>
    </row>
    <row r="917" ht="15.75" customHeight="1">
      <c r="A917" s="55"/>
      <c r="C917" s="55"/>
      <c r="E917" s="54"/>
      <c r="F917" s="55"/>
      <c r="H917" s="55"/>
      <c r="J917" s="62"/>
      <c r="K917" s="55"/>
      <c r="L917" s="62"/>
      <c r="S917" s="55"/>
      <c r="Y917" s="55"/>
      <c r="Z917" s="55"/>
      <c r="AA917" s="55"/>
      <c r="AJ917" s="55"/>
    </row>
    <row r="918" ht="15.75" customHeight="1">
      <c r="A918" s="55"/>
      <c r="C918" s="55"/>
      <c r="E918" s="54"/>
      <c r="F918" s="55"/>
      <c r="H918" s="55"/>
      <c r="J918" s="62"/>
      <c r="K918" s="55"/>
      <c r="L918" s="62"/>
      <c r="S918" s="55"/>
      <c r="Y918" s="55"/>
      <c r="Z918" s="55"/>
      <c r="AA918" s="55"/>
      <c r="AJ918" s="55"/>
    </row>
    <row r="919" ht="15.75" customHeight="1">
      <c r="A919" s="55"/>
      <c r="C919" s="55"/>
      <c r="E919" s="54"/>
      <c r="F919" s="55"/>
      <c r="H919" s="55"/>
      <c r="J919" s="62"/>
      <c r="K919" s="55"/>
      <c r="L919" s="62"/>
      <c r="S919" s="55"/>
      <c r="Y919" s="55"/>
      <c r="Z919" s="55"/>
      <c r="AA919" s="55"/>
      <c r="AJ919" s="55"/>
    </row>
    <row r="920" ht="15.75" customHeight="1">
      <c r="A920" s="55"/>
      <c r="C920" s="55"/>
      <c r="E920" s="54"/>
      <c r="F920" s="55"/>
      <c r="H920" s="55"/>
      <c r="J920" s="62"/>
      <c r="K920" s="55"/>
      <c r="L920" s="62"/>
      <c r="S920" s="55"/>
      <c r="Y920" s="55"/>
      <c r="Z920" s="55"/>
      <c r="AA920" s="55"/>
      <c r="AJ920" s="55"/>
    </row>
    <row r="921" ht="15.75" customHeight="1">
      <c r="A921" s="55"/>
      <c r="C921" s="55"/>
      <c r="E921" s="54"/>
      <c r="F921" s="55"/>
      <c r="H921" s="55"/>
      <c r="J921" s="62"/>
      <c r="K921" s="55"/>
      <c r="L921" s="62"/>
      <c r="S921" s="55"/>
      <c r="Y921" s="55"/>
      <c r="Z921" s="55"/>
      <c r="AA921" s="55"/>
      <c r="AJ921" s="55"/>
    </row>
    <row r="922" ht="15.75" customHeight="1">
      <c r="A922" s="55"/>
      <c r="C922" s="55"/>
      <c r="E922" s="54"/>
      <c r="F922" s="55"/>
      <c r="H922" s="55"/>
      <c r="J922" s="62"/>
      <c r="K922" s="55"/>
      <c r="L922" s="62"/>
      <c r="S922" s="55"/>
      <c r="Y922" s="55"/>
      <c r="Z922" s="55"/>
      <c r="AA922" s="55"/>
      <c r="AJ922" s="55"/>
    </row>
    <row r="923" ht="15.75" customHeight="1">
      <c r="A923" s="55"/>
      <c r="C923" s="55"/>
      <c r="E923" s="54"/>
      <c r="F923" s="55"/>
      <c r="H923" s="55"/>
      <c r="J923" s="62"/>
      <c r="K923" s="55"/>
      <c r="L923" s="62"/>
      <c r="S923" s="55"/>
      <c r="Y923" s="55"/>
      <c r="Z923" s="55"/>
      <c r="AA923" s="55"/>
      <c r="AJ923" s="55"/>
    </row>
    <row r="924" ht="15.75" customHeight="1">
      <c r="A924" s="55"/>
      <c r="C924" s="55"/>
      <c r="E924" s="54"/>
      <c r="F924" s="55"/>
      <c r="H924" s="55"/>
      <c r="J924" s="62"/>
      <c r="K924" s="55"/>
      <c r="L924" s="62"/>
      <c r="S924" s="55"/>
      <c r="Y924" s="55"/>
      <c r="Z924" s="55"/>
      <c r="AA924" s="55"/>
      <c r="AJ924" s="55"/>
    </row>
    <row r="925" ht="15.75" customHeight="1">
      <c r="A925" s="55"/>
      <c r="C925" s="55"/>
      <c r="E925" s="54"/>
      <c r="F925" s="55"/>
      <c r="H925" s="55"/>
      <c r="J925" s="62"/>
      <c r="K925" s="55"/>
      <c r="L925" s="62"/>
      <c r="S925" s="55"/>
      <c r="Y925" s="55"/>
      <c r="Z925" s="55"/>
      <c r="AA925" s="55"/>
      <c r="AJ925" s="55"/>
    </row>
    <row r="926" ht="15.75" customHeight="1">
      <c r="A926" s="55"/>
      <c r="C926" s="55"/>
      <c r="E926" s="54"/>
      <c r="F926" s="55"/>
      <c r="H926" s="55"/>
      <c r="J926" s="62"/>
      <c r="K926" s="55"/>
      <c r="L926" s="62"/>
      <c r="S926" s="55"/>
      <c r="Y926" s="55"/>
      <c r="Z926" s="55"/>
      <c r="AA926" s="55"/>
      <c r="AJ926" s="55"/>
    </row>
    <row r="927" ht="15.75" customHeight="1">
      <c r="A927" s="55"/>
      <c r="C927" s="55"/>
      <c r="E927" s="54"/>
      <c r="F927" s="55"/>
      <c r="H927" s="55"/>
      <c r="J927" s="62"/>
      <c r="K927" s="55"/>
      <c r="L927" s="62"/>
      <c r="S927" s="55"/>
      <c r="Y927" s="55"/>
      <c r="Z927" s="55"/>
      <c r="AA927" s="55"/>
      <c r="AJ927" s="55"/>
    </row>
    <row r="928" ht="15.75" customHeight="1">
      <c r="A928" s="55"/>
      <c r="C928" s="55"/>
      <c r="E928" s="54"/>
      <c r="F928" s="55"/>
      <c r="H928" s="55"/>
      <c r="J928" s="62"/>
      <c r="K928" s="55"/>
      <c r="L928" s="62"/>
      <c r="S928" s="55"/>
      <c r="Y928" s="55"/>
      <c r="Z928" s="55"/>
      <c r="AA928" s="55"/>
      <c r="AJ928" s="55"/>
    </row>
    <row r="929" ht="15.75" customHeight="1">
      <c r="A929" s="55"/>
      <c r="C929" s="55"/>
      <c r="E929" s="54"/>
      <c r="F929" s="55"/>
      <c r="H929" s="55"/>
      <c r="J929" s="62"/>
      <c r="K929" s="55"/>
      <c r="L929" s="62"/>
      <c r="S929" s="55"/>
      <c r="Y929" s="55"/>
      <c r="Z929" s="55"/>
      <c r="AA929" s="55"/>
      <c r="AJ929" s="55"/>
    </row>
    <row r="930" ht="15.75" customHeight="1">
      <c r="A930" s="55"/>
      <c r="C930" s="55"/>
      <c r="E930" s="54"/>
      <c r="F930" s="55"/>
      <c r="H930" s="55"/>
      <c r="J930" s="62"/>
      <c r="K930" s="55"/>
      <c r="L930" s="62"/>
      <c r="S930" s="55"/>
      <c r="Y930" s="55"/>
      <c r="Z930" s="55"/>
      <c r="AA930" s="55"/>
      <c r="AJ930" s="55"/>
    </row>
    <row r="931" ht="15.75" customHeight="1">
      <c r="A931" s="55"/>
      <c r="C931" s="55"/>
      <c r="E931" s="54"/>
      <c r="F931" s="55"/>
      <c r="H931" s="55"/>
      <c r="J931" s="62"/>
      <c r="K931" s="55"/>
      <c r="L931" s="62"/>
      <c r="S931" s="55"/>
      <c r="Y931" s="55"/>
      <c r="Z931" s="55"/>
      <c r="AA931" s="55"/>
      <c r="AJ931" s="55"/>
    </row>
    <row r="932" ht="15.75" customHeight="1">
      <c r="A932" s="55"/>
      <c r="C932" s="55"/>
      <c r="E932" s="54"/>
      <c r="F932" s="55"/>
      <c r="H932" s="55"/>
      <c r="J932" s="62"/>
      <c r="K932" s="55"/>
      <c r="L932" s="62"/>
      <c r="S932" s="55"/>
      <c r="Y932" s="55"/>
      <c r="Z932" s="55"/>
      <c r="AA932" s="55"/>
      <c r="AJ932" s="55"/>
    </row>
    <row r="933" ht="15.75" customHeight="1">
      <c r="A933" s="55"/>
      <c r="C933" s="55"/>
      <c r="E933" s="54"/>
      <c r="F933" s="55"/>
      <c r="H933" s="55"/>
      <c r="J933" s="62"/>
      <c r="K933" s="55"/>
      <c r="L933" s="62"/>
      <c r="S933" s="55"/>
      <c r="Y933" s="55"/>
      <c r="Z933" s="55"/>
      <c r="AA933" s="55"/>
      <c r="AJ933" s="55"/>
    </row>
    <row r="934" ht="15.75" customHeight="1">
      <c r="A934" s="55"/>
      <c r="C934" s="55"/>
      <c r="E934" s="54"/>
      <c r="F934" s="55"/>
      <c r="H934" s="55"/>
      <c r="J934" s="62"/>
      <c r="K934" s="55"/>
      <c r="L934" s="62"/>
      <c r="S934" s="55"/>
      <c r="Y934" s="55"/>
      <c r="Z934" s="55"/>
      <c r="AA934" s="55"/>
      <c r="AJ934" s="55"/>
    </row>
    <row r="935" ht="15.75" customHeight="1">
      <c r="A935" s="55"/>
      <c r="C935" s="55"/>
      <c r="E935" s="54"/>
      <c r="F935" s="55"/>
      <c r="H935" s="55"/>
      <c r="J935" s="62"/>
      <c r="K935" s="55"/>
      <c r="L935" s="62"/>
      <c r="S935" s="55"/>
      <c r="Y935" s="55"/>
      <c r="Z935" s="55"/>
      <c r="AA935" s="55"/>
      <c r="AJ935" s="55"/>
    </row>
    <row r="936" ht="15.75" customHeight="1">
      <c r="A936" s="55"/>
      <c r="C936" s="55"/>
      <c r="E936" s="54"/>
      <c r="F936" s="55"/>
      <c r="H936" s="55"/>
      <c r="J936" s="62"/>
      <c r="K936" s="55"/>
      <c r="L936" s="62"/>
      <c r="S936" s="55"/>
      <c r="Y936" s="55"/>
      <c r="Z936" s="55"/>
      <c r="AA936" s="55"/>
      <c r="AJ936" s="55"/>
    </row>
    <row r="937" ht="15.75" customHeight="1">
      <c r="A937" s="55"/>
      <c r="C937" s="55"/>
      <c r="E937" s="54"/>
      <c r="F937" s="55"/>
      <c r="H937" s="55"/>
      <c r="J937" s="62"/>
      <c r="K937" s="55"/>
      <c r="L937" s="62"/>
      <c r="S937" s="55"/>
      <c r="Y937" s="55"/>
      <c r="Z937" s="55"/>
      <c r="AA937" s="55"/>
      <c r="AJ937" s="55"/>
    </row>
    <row r="938" ht="15.75" customHeight="1">
      <c r="A938" s="55"/>
      <c r="C938" s="55"/>
      <c r="E938" s="54"/>
      <c r="F938" s="55"/>
      <c r="H938" s="55"/>
      <c r="J938" s="62"/>
      <c r="K938" s="55"/>
      <c r="L938" s="62"/>
      <c r="S938" s="55"/>
      <c r="Y938" s="55"/>
      <c r="Z938" s="55"/>
      <c r="AA938" s="55"/>
      <c r="AJ938" s="55"/>
    </row>
    <row r="939" ht="15.75" customHeight="1">
      <c r="A939" s="55"/>
      <c r="C939" s="55"/>
      <c r="E939" s="54"/>
      <c r="F939" s="55"/>
      <c r="H939" s="55"/>
      <c r="J939" s="62"/>
      <c r="K939" s="55"/>
      <c r="L939" s="62"/>
      <c r="S939" s="55"/>
      <c r="Y939" s="55"/>
      <c r="Z939" s="55"/>
      <c r="AA939" s="55"/>
      <c r="AJ939" s="55"/>
    </row>
    <row r="940" ht="15.75" customHeight="1">
      <c r="A940" s="55"/>
      <c r="C940" s="55"/>
      <c r="E940" s="54"/>
      <c r="F940" s="55"/>
      <c r="H940" s="55"/>
      <c r="J940" s="62"/>
      <c r="K940" s="55"/>
      <c r="L940" s="62"/>
      <c r="S940" s="55"/>
      <c r="Y940" s="55"/>
      <c r="Z940" s="55"/>
      <c r="AA940" s="55"/>
      <c r="AJ940" s="55"/>
    </row>
    <row r="941" ht="15.75" customHeight="1">
      <c r="A941" s="55"/>
      <c r="C941" s="55"/>
      <c r="E941" s="54"/>
      <c r="F941" s="55"/>
      <c r="H941" s="55"/>
      <c r="J941" s="62"/>
      <c r="K941" s="55"/>
      <c r="L941" s="62"/>
      <c r="S941" s="55"/>
      <c r="Y941" s="55"/>
      <c r="Z941" s="55"/>
      <c r="AA941" s="55"/>
      <c r="AJ941" s="55"/>
    </row>
    <row r="942" ht="15.75" customHeight="1">
      <c r="A942" s="55"/>
      <c r="C942" s="55"/>
      <c r="E942" s="54"/>
      <c r="F942" s="55"/>
      <c r="H942" s="55"/>
      <c r="J942" s="62"/>
      <c r="K942" s="55"/>
      <c r="L942" s="62"/>
      <c r="S942" s="55"/>
      <c r="Y942" s="55"/>
      <c r="Z942" s="55"/>
      <c r="AA942" s="55"/>
      <c r="AJ942" s="55"/>
    </row>
    <row r="943" ht="15.75" customHeight="1">
      <c r="A943" s="55"/>
      <c r="C943" s="55"/>
      <c r="E943" s="54"/>
      <c r="F943" s="55"/>
      <c r="H943" s="55"/>
      <c r="J943" s="62"/>
      <c r="K943" s="55"/>
      <c r="L943" s="62"/>
      <c r="S943" s="55"/>
      <c r="Y943" s="55"/>
      <c r="Z943" s="55"/>
      <c r="AA943" s="55"/>
      <c r="AJ943" s="55"/>
    </row>
    <row r="944" ht="15.75" customHeight="1">
      <c r="A944" s="55"/>
      <c r="C944" s="55"/>
      <c r="E944" s="54"/>
      <c r="F944" s="55"/>
      <c r="H944" s="55"/>
      <c r="J944" s="62"/>
      <c r="K944" s="55"/>
      <c r="L944" s="62"/>
      <c r="S944" s="55"/>
      <c r="Y944" s="55"/>
      <c r="Z944" s="55"/>
      <c r="AA944" s="55"/>
      <c r="AJ944" s="55"/>
    </row>
    <row r="945" ht="15.75" customHeight="1">
      <c r="A945" s="55"/>
      <c r="C945" s="55"/>
      <c r="E945" s="54"/>
      <c r="F945" s="55"/>
      <c r="H945" s="55"/>
      <c r="J945" s="62"/>
      <c r="K945" s="55"/>
      <c r="L945" s="62"/>
      <c r="S945" s="55"/>
      <c r="Y945" s="55"/>
      <c r="Z945" s="55"/>
      <c r="AA945" s="55"/>
      <c r="AJ945" s="55"/>
    </row>
    <row r="946" ht="15.75" customHeight="1">
      <c r="A946" s="55"/>
      <c r="C946" s="55"/>
      <c r="E946" s="54"/>
      <c r="F946" s="55"/>
      <c r="H946" s="55"/>
      <c r="J946" s="62"/>
      <c r="K946" s="55"/>
      <c r="L946" s="62"/>
      <c r="S946" s="55"/>
      <c r="Y946" s="55"/>
      <c r="Z946" s="55"/>
      <c r="AA946" s="55"/>
      <c r="AJ946" s="55"/>
    </row>
    <row r="947" ht="15.75" customHeight="1">
      <c r="A947" s="55"/>
      <c r="C947" s="55"/>
      <c r="E947" s="54"/>
      <c r="F947" s="55"/>
      <c r="H947" s="55"/>
      <c r="J947" s="62"/>
      <c r="K947" s="55"/>
      <c r="L947" s="62"/>
      <c r="S947" s="55"/>
      <c r="Y947" s="55"/>
      <c r="Z947" s="55"/>
      <c r="AA947" s="55"/>
      <c r="AJ947" s="55"/>
    </row>
    <row r="948" ht="15.75" customHeight="1">
      <c r="A948" s="55"/>
      <c r="C948" s="55"/>
      <c r="E948" s="54"/>
      <c r="F948" s="55"/>
      <c r="H948" s="55"/>
      <c r="J948" s="62"/>
      <c r="K948" s="55"/>
      <c r="L948" s="62"/>
      <c r="S948" s="55"/>
      <c r="Y948" s="55"/>
      <c r="Z948" s="55"/>
      <c r="AA948" s="55"/>
      <c r="AJ948" s="55"/>
    </row>
    <row r="949" ht="15.75" customHeight="1">
      <c r="A949" s="55"/>
      <c r="C949" s="55"/>
      <c r="E949" s="54"/>
      <c r="F949" s="55"/>
      <c r="H949" s="55"/>
      <c r="J949" s="62"/>
      <c r="K949" s="55"/>
      <c r="L949" s="62"/>
      <c r="S949" s="55"/>
      <c r="Y949" s="55"/>
      <c r="Z949" s="55"/>
      <c r="AA949" s="55"/>
      <c r="AJ949" s="55"/>
    </row>
    <row r="950" ht="15.75" customHeight="1">
      <c r="A950" s="55"/>
      <c r="C950" s="55"/>
      <c r="E950" s="54"/>
      <c r="F950" s="55"/>
      <c r="H950" s="55"/>
      <c r="J950" s="62"/>
      <c r="K950" s="55"/>
      <c r="L950" s="62"/>
      <c r="S950" s="55"/>
      <c r="Y950" s="55"/>
      <c r="Z950" s="55"/>
      <c r="AA950" s="55"/>
      <c r="AJ950" s="55"/>
    </row>
    <row r="951" ht="15.75" customHeight="1">
      <c r="A951" s="55"/>
      <c r="C951" s="55"/>
      <c r="E951" s="54"/>
      <c r="F951" s="55"/>
      <c r="H951" s="55"/>
      <c r="J951" s="62"/>
      <c r="K951" s="55"/>
      <c r="L951" s="62"/>
      <c r="S951" s="55"/>
      <c r="Y951" s="55"/>
      <c r="Z951" s="55"/>
      <c r="AA951" s="55"/>
      <c r="AJ951" s="55"/>
    </row>
    <row r="952" ht="15.75" customHeight="1">
      <c r="A952" s="55"/>
      <c r="C952" s="55"/>
      <c r="E952" s="54"/>
      <c r="F952" s="55"/>
      <c r="H952" s="55"/>
      <c r="J952" s="62"/>
      <c r="K952" s="55"/>
      <c r="L952" s="62"/>
      <c r="S952" s="55"/>
      <c r="Y952" s="55"/>
      <c r="Z952" s="55"/>
      <c r="AA952" s="55"/>
      <c r="AJ952" s="55"/>
    </row>
    <row r="953" ht="15.75" customHeight="1">
      <c r="A953" s="55"/>
      <c r="C953" s="55"/>
      <c r="E953" s="54"/>
      <c r="F953" s="55"/>
      <c r="H953" s="55"/>
      <c r="J953" s="62"/>
      <c r="K953" s="55"/>
      <c r="L953" s="62"/>
      <c r="S953" s="55"/>
      <c r="Y953" s="55"/>
      <c r="Z953" s="55"/>
      <c r="AA953" s="55"/>
      <c r="AJ953" s="55"/>
    </row>
    <row r="954" ht="15.75" customHeight="1">
      <c r="A954" s="55"/>
      <c r="C954" s="55"/>
      <c r="E954" s="54"/>
      <c r="F954" s="55"/>
      <c r="H954" s="55"/>
      <c r="J954" s="62"/>
      <c r="K954" s="55"/>
      <c r="L954" s="62"/>
      <c r="S954" s="55"/>
      <c r="Y954" s="55"/>
      <c r="Z954" s="55"/>
      <c r="AA954" s="55"/>
      <c r="AJ954" s="55"/>
    </row>
    <row r="955" ht="15.75" customHeight="1">
      <c r="A955" s="55"/>
      <c r="C955" s="55"/>
      <c r="E955" s="54"/>
      <c r="F955" s="55"/>
      <c r="H955" s="55"/>
      <c r="J955" s="62"/>
      <c r="K955" s="55"/>
      <c r="L955" s="62"/>
      <c r="S955" s="55"/>
      <c r="Y955" s="55"/>
      <c r="Z955" s="55"/>
      <c r="AA955" s="55"/>
      <c r="AJ955" s="55"/>
    </row>
    <row r="956" ht="15.75" customHeight="1">
      <c r="A956" s="55"/>
      <c r="C956" s="55"/>
      <c r="E956" s="54"/>
      <c r="F956" s="55"/>
      <c r="H956" s="55"/>
      <c r="J956" s="62"/>
      <c r="K956" s="55"/>
      <c r="L956" s="62"/>
      <c r="S956" s="55"/>
      <c r="Y956" s="55"/>
      <c r="Z956" s="55"/>
      <c r="AA956" s="55"/>
      <c r="AJ956" s="55"/>
    </row>
    <row r="957" ht="15.75" customHeight="1">
      <c r="A957" s="55"/>
      <c r="C957" s="55"/>
      <c r="E957" s="54"/>
      <c r="F957" s="55"/>
      <c r="H957" s="55"/>
      <c r="J957" s="62"/>
      <c r="K957" s="55"/>
      <c r="L957" s="62"/>
      <c r="S957" s="55"/>
      <c r="Y957" s="55"/>
      <c r="Z957" s="55"/>
      <c r="AA957" s="55"/>
      <c r="AJ957" s="55"/>
    </row>
    <row r="958" ht="15.75" customHeight="1">
      <c r="A958" s="55"/>
      <c r="C958" s="55"/>
      <c r="E958" s="54"/>
      <c r="F958" s="55"/>
      <c r="H958" s="55"/>
      <c r="J958" s="62"/>
      <c r="K958" s="55"/>
      <c r="L958" s="62"/>
      <c r="S958" s="55"/>
      <c r="Y958" s="55"/>
      <c r="Z958" s="55"/>
      <c r="AA958" s="55"/>
      <c r="AJ958" s="55"/>
    </row>
    <row r="959" ht="15.75" customHeight="1">
      <c r="A959" s="55"/>
      <c r="C959" s="55"/>
      <c r="E959" s="54"/>
      <c r="F959" s="55"/>
      <c r="H959" s="55"/>
      <c r="J959" s="62"/>
      <c r="K959" s="55"/>
      <c r="L959" s="62"/>
      <c r="S959" s="55"/>
      <c r="Y959" s="55"/>
      <c r="Z959" s="55"/>
      <c r="AA959" s="55"/>
      <c r="AJ959" s="55"/>
    </row>
    <row r="960" ht="15.75" customHeight="1">
      <c r="A960" s="55"/>
      <c r="C960" s="55"/>
      <c r="E960" s="54"/>
      <c r="F960" s="55"/>
      <c r="H960" s="55"/>
      <c r="J960" s="62"/>
      <c r="K960" s="55"/>
      <c r="L960" s="62"/>
      <c r="S960" s="55"/>
      <c r="Y960" s="55"/>
      <c r="Z960" s="55"/>
      <c r="AA960" s="55"/>
      <c r="AJ960" s="55"/>
    </row>
    <row r="961" ht="15.75" customHeight="1">
      <c r="A961" s="55"/>
      <c r="C961" s="55"/>
      <c r="E961" s="54"/>
      <c r="F961" s="55"/>
      <c r="H961" s="55"/>
      <c r="J961" s="62"/>
      <c r="K961" s="55"/>
      <c r="L961" s="62"/>
      <c r="S961" s="55"/>
      <c r="Y961" s="55"/>
      <c r="Z961" s="55"/>
      <c r="AA961" s="55"/>
      <c r="AJ961" s="55"/>
    </row>
    <row r="962" ht="15.75" customHeight="1">
      <c r="A962" s="55"/>
      <c r="C962" s="55"/>
      <c r="E962" s="54"/>
      <c r="F962" s="55"/>
      <c r="H962" s="55"/>
      <c r="J962" s="62"/>
      <c r="K962" s="55"/>
      <c r="L962" s="62"/>
      <c r="S962" s="55"/>
      <c r="Y962" s="55"/>
      <c r="Z962" s="55"/>
      <c r="AA962" s="55"/>
      <c r="AJ962" s="55"/>
    </row>
    <row r="963" ht="15.75" customHeight="1">
      <c r="A963" s="55"/>
      <c r="C963" s="55"/>
      <c r="E963" s="54"/>
      <c r="F963" s="55"/>
      <c r="H963" s="55"/>
      <c r="J963" s="62"/>
      <c r="K963" s="55"/>
      <c r="L963" s="62"/>
      <c r="S963" s="55"/>
      <c r="Y963" s="55"/>
      <c r="Z963" s="55"/>
      <c r="AA963" s="55"/>
      <c r="AJ963" s="55"/>
    </row>
    <row r="964" ht="15.75" customHeight="1">
      <c r="A964" s="55"/>
      <c r="C964" s="55"/>
      <c r="E964" s="54"/>
      <c r="F964" s="55"/>
      <c r="H964" s="55"/>
      <c r="J964" s="62"/>
      <c r="K964" s="55"/>
      <c r="L964" s="62"/>
      <c r="S964" s="55"/>
      <c r="Y964" s="55"/>
      <c r="Z964" s="55"/>
      <c r="AA964" s="55"/>
      <c r="AJ964" s="55"/>
    </row>
    <row r="965" ht="15.75" customHeight="1">
      <c r="A965" s="55"/>
      <c r="C965" s="55"/>
      <c r="E965" s="54"/>
      <c r="F965" s="55"/>
      <c r="H965" s="55"/>
      <c r="J965" s="62"/>
      <c r="K965" s="55"/>
      <c r="L965" s="62"/>
      <c r="S965" s="55"/>
      <c r="Y965" s="55"/>
      <c r="Z965" s="55"/>
      <c r="AA965" s="55"/>
      <c r="AJ965" s="55"/>
    </row>
    <row r="966" ht="15.75" customHeight="1">
      <c r="A966" s="55"/>
      <c r="C966" s="55"/>
      <c r="E966" s="54"/>
      <c r="F966" s="55"/>
      <c r="H966" s="55"/>
      <c r="J966" s="62"/>
      <c r="K966" s="55"/>
      <c r="L966" s="62"/>
      <c r="S966" s="55"/>
      <c r="Y966" s="55"/>
      <c r="Z966" s="55"/>
      <c r="AA966" s="55"/>
      <c r="AJ966" s="55"/>
    </row>
    <row r="967" ht="15.75" customHeight="1">
      <c r="A967" s="55"/>
      <c r="C967" s="55"/>
      <c r="E967" s="54"/>
      <c r="F967" s="55"/>
      <c r="H967" s="55"/>
      <c r="J967" s="62"/>
      <c r="K967" s="55"/>
      <c r="L967" s="62"/>
      <c r="S967" s="55"/>
      <c r="Y967" s="55"/>
      <c r="Z967" s="55"/>
      <c r="AA967" s="55"/>
      <c r="AJ967" s="55"/>
    </row>
    <row r="968" ht="15.75" customHeight="1">
      <c r="A968" s="55"/>
      <c r="C968" s="55"/>
      <c r="E968" s="54"/>
      <c r="F968" s="55"/>
      <c r="H968" s="55"/>
      <c r="J968" s="62"/>
      <c r="K968" s="55"/>
      <c r="L968" s="62"/>
      <c r="S968" s="55"/>
      <c r="Y968" s="55"/>
      <c r="Z968" s="55"/>
      <c r="AA968" s="55"/>
      <c r="AJ968" s="55"/>
    </row>
    <row r="969" ht="15.75" customHeight="1">
      <c r="A969" s="55"/>
      <c r="C969" s="55"/>
      <c r="E969" s="54"/>
      <c r="F969" s="55"/>
      <c r="H969" s="55"/>
      <c r="J969" s="62"/>
      <c r="K969" s="55"/>
      <c r="L969" s="62"/>
      <c r="S969" s="55"/>
      <c r="Y969" s="55"/>
      <c r="Z969" s="55"/>
      <c r="AA969" s="55"/>
      <c r="AJ969" s="55"/>
    </row>
    <row r="970" ht="15.75" customHeight="1">
      <c r="A970" s="55"/>
      <c r="C970" s="55"/>
      <c r="E970" s="54"/>
      <c r="F970" s="55"/>
      <c r="H970" s="55"/>
      <c r="J970" s="62"/>
      <c r="K970" s="55"/>
      <c r="L970" s="62"/>
      <c r="S970" s="55"/>
      <c r="Y970" s="55"/>
      <c r="Z970" s="55"/>
      <c r="AA970" s="55"/>
      <c r="AJ970" s="55"/>
    </row>
    <row r="971" ht="15.75" customHeight="1">
      <c r="A971" s="55"/>
      <c r="C971" s="55"/>
      <c r="E971" s="54"/>
      <c r="F971" s="55"/>
      <c r="H971" s="55"/>
      <c r="J971" s="62"/>
      <c r="K971" s="55"/>
      <c r="L971" s="62"/>
      <c r="S971" s="55"/>
      <c r="Y971" s="55"/>
      <c r="Z971" s="55"/>
      <c r="AA971" s="55"/>
      <c r="AJ971" s="55"/>
    </row>
    <row r="972" ht="15.75" customHeight="1">
      <c r="A972" s="55"/>
      <c r="C972" s="55"/>
      <c r="E972" s="54"/>
      <c r="F972" s="55"/>
      <c r="H972" s="55"/>
      <c r="J972" s="62"/>
      <c r="K972" s="55"/>
      <c r="L972" s="62"/>
      <c r="S972" s="55"/>
      <c r="Y972" s="55"/>
      <c r="Z972" s="55"/>
      <c r="AA972" s="55"/>
      <c r="AJ972" s="55"/>
    </row>
    <row r="973" ht="15.75" customHeight="1">
      <c r="A973" s="55"/>
      <c r="C973" s="55"/>
      <c r="E973" s="54"/>
      <c r="F973" s="55"/>
      <c r="H973" s="55"/>
      <c r="J973" s="62"/>
      <c r="K973" s="55"/>
      <c r="L973" s="62"/>
      <c r="S973" s="55"/>
      <c r="Y973" s="55"/>
      <c r="Z973" s="55"/>
      <c r="AA973" s="55"/>
      <c r="AJ973" s="55"/>
    </row>
    <row r="974" ht="15.75" customHeight="1">
      <c r="A974" s="55"/>
      <c r="C974" s="55"/>
      <c r="E974" s="54"/>
      <c r="F974" s="55"/>
      <c r="H974" s="55"/>
      <c r="J974" s="62"/>
      <c r="K974" s="55"/>
      <c r="L974" s="62"/>
      <c r="S974" s="55"/>
      <c r="Y974" s="55"/>
      <c r="Z974" s="55"/>
      <c r="AA974" s="55"/>
      <c r="AJ974" s="55"/>
    </row>
    <row r="975" ht="15.75" customHeight="1">
      <c r="A975" s="55"/>
      <c r="C975" s="55"/>
      <c r="E975" s="54"/>
      <c r="F975" s="55"/>
      <c r="H975" s="55"/>
      <c r="J975" s="62"/>
      <c r="K975" s="55"/>
      <c r="L975" s="62"/>
      <c r="S975" s="55"/>
      <c r="Y975" s="55"/>
      <c r="Z975" s="55"/>
      <c r="AA975" s="55"/>
      <c r="AJ975" s="55"/>
    </row>
    <row r="976" ht="15.75" customHeight="1">
      <c r="A976" s="55"/>
      <c r="C976" s="55"/>
      <c r="E976" s="54"/>
      <c r="F976" s="55"/>
      <c r="H976" s="55"/>
      <c r="J976" s="62"/>
      <c r="K976" s="55"/>
      <c r="L976" s="62"/>
      <c r="S976" s="55"/>
      <c r="Y976" s="55"/>
      <c r="Z976" s="55"/>
      <c r="AA976" s="55"/>
      <c r="AJ976" s="55"/>
    </row>
    <row r="977" ht="15.75" customHeight="1">
      <c r="A977" s="55"/>
      <c r="C977" s="55"/>
      <c r="E977" s="54"/>
      <c r="F977" s="55"/>
      <c r="H977" s="55"/>
      <c r="J977" s="62"/>
      <c r="K977" s="55"/>
      <c r="L977" s="62"/>
      <c r="S977" s="55"/>
      <c r="Y977" s="55"/>
      <c r="Z977" s="55"/>
      <c r="AA977" s="55"/>
      <c r="AJ977" s="55"/>
    </row>
    <row r="978" ht="15.75" customHeight="1">
      <c r="A978" s="55"/>
      <c r="C978" s="55"/>
      <c r="E978" s="54"/>
      <c r="F978" s="55"/>
      <c r="H978" s="55"/>
      <c r="J978" s="62"/>
      <c r="K978" s="55"/>
      <c r="L978" s="62"/>
      <c r="S978" s="55"/>
      <c r="Y978" s="55"/>
      <c r="Z978" s="55"/>
      <c r="AA978" s="55"/>
      <c r="AJ978" s="55"/>
    </row>
    <row r="979" ht="15.75" customHeight="1">
      <c r="A979" s="55"/>
      <c r="C979" s="55"/>
      <c r="E979" s="54"/>
      <c r="F979" s="55"/>
      <c r="H979" s="55"/>
      <c r="J979" s="62"/>
      <c r="K979" s="55"/>
      <c r="L979" s="62"/>
      <c r="S979" s="55"/>
      <c r="Y979" s="55"/>
      <c r="Z979" s="55"/>
      <c r="AA979" s="55"/>
      <c r="AJ979" s="55"/>
    </row>
    <row r="980" ht="15.75" customHeight="1">
      <c r="A980" s="55"/>
      <c r="C980" s="55"/>
      <c r="E980" s="54"/>
      <c r="F980" s="55"/>
      <c r="H980" s="55"/>
      <c r="J980" s="62"/>
      <c r="K980" s="55"/>
      <c r="L980" s="62"/>
      <c r="S980" s="55"/>
      <c r="Y980" s="55"/>
      <c r="Z980" s="55"/>
      <c r="AA980" s="55"/>
      <c r="AJ980" s="55"/>
    </row>
    <row r="981" ht="15.75" customHeight="1">
      <c r="A981" s="55"/>
      <c r="C981" s="55"/>
      <c r="E981" s="54"/>
      <c r="F981" s="55"/>
      <c r="H981" s="55"/>
      <c r="J981" s="62"/>
      <c r="K981" s="55"/>
      <c r="L981" s="62"/>
      <c r="S981" s="55"/>
      <c r="Y981" s="55"/>
      <c r="Z981" s="55"/>
      <c r="AA981" s="55"/>
      <c r="AJ981" s="55"/>
    </row>
    <row r="982" ht="15.75" customHeight="1">
      <c r="A982" s="55"/>
      <c r="C982" s="55"/>
      <c r="E982" s="54"/>
      <c r="F982" s="55"/>
      <c r="H982" s="55"/>
      <c r="J982" s="62"/>
      <c r="K982" s="55"/>
      <c r="L982" s="62"/>
      <c r="S982" s="55"/>
      <c r="Y982" s="55"/>
      <c r="Z982" s="55"/>
      <c r="AA982" s="55"/>
      <c r="AJ982" s="55"/>
    </row>
    <row r="983" ht="15.75" customHeight="1">
      <c r="A983" s="55"/>
      <c r="C983" s="55"/>
      <c r="E983" s="54"/>
      <c r="F983" s="55"/>
      <c r="H983" s="55"/>
      <c r="J983" s="62"/>
      <c r="K983" s="55"/>
      <c r="L983" s="62"/>
      <c r="S983" s="55"/>
      <c r="Y983" s="55"/>
      <c r="Z983" s="55"/>
      <c r="AA983" s="55"/>
      <c r="AJ983" s="55"/>
    </row>
    <row r="984" ht="15.75" customHeight="1">
      <c r="A984" s="55"/>
      <c r="C984" s="55"/>
      <c r="E984" s="54"/>
      <c r="F984" s="55"/>
      <c r="H984" s="55"/>
      <c r="J984" s="62"/>
      <c r="K984" s="55"/>
      <c r="L984" s="62"/>
      <c r="S984" s="55"/>
      <c r="Y984" s="55"/>
      <c r="Z984" s="55"/>
      <c r="AA984" s="55"/>
      <c r="AJ984" s="55"/>
    </row>
    <row r="985" ht="15.75" customHeight="1">
      <c r="A985" s="55"/>
      <c r="C985" s="55"/>
      <c r="E985" s="54"/>
      <c r="F985" s="55"/>
      <c r="H985" s="55"/>
      <c r="J985" s="62"/>
      <c r="K985" s="55"/>
      <c r="L985" s="62"/>
      <c r="S985" s="55"/>
      <c r="Y985" s="55"/>
      <c r="Z985" s="55"/>
      <c r="AA985" s="55"/>
      <c r="AJ985" s="55"/>
    </row>
    <row r="986" ht="15.75" customHeight="1">
      <c r="A986" s="55"/>
      <c r="C986" s="55"/>
      <c r="E986" s="54"/>
      <c r="F986" s="55"/>
      <c r="H986" s="55"/>
      <c r="J986" s="62"/>
      <c r="K986" s="55"/>
      <c r="L986" s="62"/>
      <c r="S986" s="55"/>
      <c r="Y986" s="55"/>
      <c r="Z986" s="55"/>
      <c r="AA986" s="55"/>
      <c r="AJ986" s="55"/>
    </row>
    <row r="987" ht="15.75" customHeight="1">
      <c r="A987" s="55"/>
      <c r="C987" s="55"/>
      <c r="E987" s="54"/>
      <c r="F987" s="55"/>
      <c r="H987" s="55"/>
      <c r="J987" s="62"/>
      <c r="K987" s="55"/>
      <c r="L987" s="62"/>
      <c r="S987" s="55"/>
      <c r="Y987" s="55"/>
      <c r="Z987" s="55"/>
      <c r="AA987" s="55"/>
      <c r="AJ987" s="55"/>
    </row>
    <row r="988" ht="15.75" customHeight="1">
      <c r="A988" s="55"/>
      <c r="C988" s="55"/>
      <c r="E988" s="54"/>
      <c r="F988" s="55"/>
      <c r="H988" s="55"/>
      <c r="J988" s="62"/>
      <c r="K988" s="55"/>
      <c r="L988" s="62"/>
      <c r="S988" s="55"/>
      <c r="Y988" s="55"/>
      <c r="Z988" s="55"/>
      <c r="AA988" s="55"/>
      <c r="AJ988" s="55"/>
    </row>
  </sheetData>
  <mergeCells count="1">
    <mergeCell ref="Q3:R3"/>
  </mergeCells>
  <dataValidations>
    <dataValidation type="list" allowBlank="1" showErrorMessage="1" sqref="K4:K69">
      <formula1>"CAMIAO+REBOQUE,CAMIAO,LEVE,VAZIO"</formula1>
    </dataValidation>
    <dataValidation type="list" allowBlank="1" showErrorMessage="1" sqref="C4:C44">
      <formula1>"Ida,Volta"</formula1>
    </dataValidation>
    <dataValidation type="list" allowBlank="1" showErrorMessage="1" sqref="H4:H988">
      <formula1>Tabela_ConsPort!$D$2:$D$10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17.29"/>
    <col customWidth="1" min="5" max="5" width="14.43"/>
    <col customWidth="1" min="6" max="6" width="20.43"/>
    <col customWidth="1" min="7" max="7" width="8.14"/>
    <col customWidth="1" min="11" max="11" width="20.14"/>
    <col customWidth="1" min="12" max="12" width="36.86"/>
  </cols>
  <sheetData>
    <row r="1">
      <c r="A1" s="64"/>
      <c r="B1" s="64"/>
      <c r="C1" s="64"/>
      <c r="D1" s="65" t="s">
        <v>100</v>
      </c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</row>
    <row r="2">
      <c r="A2" s="66" t="s">
        <v>101</v>
      </c>
      <c r="B2" s="67"/>
      <c r="C2" s="14"/>
      <c r="D2" s="68">
        <v>95000.0</v>
      </c>
      <c r="E2" s="66" t="s">
        <v>102</v>
      </c>
      <c r="F2" s="67"/>
      <c r="G2" s="67"/>
      <c r="H2" s="67"/>
      <c r="I2" s="14"/>
      <c r="J2" s="69"/>
      <c r="K2" s="70" t="s">
        <v>103</v>
      </c>
      <c r="L2" s="71">
        <v>127000.0</v>
      </c>
      <c r="N2" s="72"/>
      <c r="T2" s="64"/>
      <c r="U2" s="64"/>
      <c r="V2" s="64"/>
      <c r="W2" s="64"/>
    </row>
    <row r="3">
      <c r="A3" s="66" t="s">
        <v>104</v>
      </c>
      <c r="B3" s="14"/>
      <c r="C3" s="73">
        <v>1345.0</v>
      </c>
      <c r="D3" s="74"/>
      <c r="E3" s="75"/>
      <c r="F3" s="14"/>
      <c r="G3" s="76" t="s">
        <v>105</v>
      </c>
      <c r="H3" s="76" t="s">
        <v>65</v>
      </c>
      <c r="I3" s="76" t="s">
        <v>106</v>
      </c>
      <c r="J3" s="69"/>
      <c r="K3" s="70" t="s">
        <v>107</v>
      </c>
      <c r="L3" s="71">
        <v>88000.0</v>
      </c>
      <c r="N3" s="77"/>
      <c r="T3" s="64"/>
      <c r="U3" s="64"/>
      <c r="V3" s="64"/>
      <c r="W3" s="64"/>
    </row>
    <row r="4">
      <c r="A4" s="66" t="s">
        <v>108</v>
      </c>
      <c r="B4" s="14"/>
      <c r="C4" s="73">
        <v>30.0</v>
      </c>
      <c r="D4" s="69"/>
      <c r="E4" s="78" t="s">
        <v>109</v>
      </c>
      <c r="F4" s="14"/>
      <c r="G4" s="79">
        <v>95000.0</v>
      </c>
      <c r="H4" s="80">
        <v>1500.0</v>
      </c>
      <c r="I4" s="81">
        <f>H4/G4</f>
        <v>0.01578947368</v>
      </c>
      <c r="J4" s="82"/>
      <c r="K4" s="70" t="s">
        <v>110</v>
      </c>
      <c r="L4" s="83">
        <v>3.0</v>
      </c>
      <c r="N4" s="77"/>
      <c r="T4" s="64"/>
      <c r="U4" s="64"/>
      <c r="V4" s="64"/>
      <c r="W4" s="64"/>
    </row>
    <row r="5">
      <c r="A5" s="84" t="s">
        <v>111</v>
      </c>
      <c r="B5" s="14"/>
      <c r="C5" s="85">
        <f>C3*0.235</f>
        <v>316.075</v>
      </c>
      <c r="D5" s="69"/>
      <c r="E5" s="86" t="s">
        <v>112</v>
      </c>
      <c r="F5" s="14"/>
      <c r="G5" s="87">
        <f>H20</f>
        <v>0.03314444444</v>
      </c>
      <c r="H5" s="67"/>
      <c r="I5" s="14"/>
      <c r="J5" s="88"/>
      <c r="K5" s="32" t="s">
        <v>113</v>
      </c>
      <c r="L5" s="6">
        <f>L2/1000000</f>
        <v>0.127</v>
      </c>
      <c r="N5" s="77"/>
      <c r="T5" s="64"/>
      <c r="U5" s="64"/>
      <c r="V5" s="64"/>
      <c r="W5" s="64"/>
    </row>
    <row r="6">
      <c r="A6" s="84" t="s">
        <v>62</v>
      </c>
      <c r="B6" s="14"/>
      <c r="C6" s="73">
        <f>6.4*19</f>
        <v>121.6</v>
      </c>
      <c r="D6" s="69"/>
      <c r="E6" s="86" t="s">
        <v>114</v>
      </c>
      <c r="F6" s="14"/>
      <c r="G6" s="79">
        <v>95000.0</v>
      </c>
      <c r="H6" s="89">
        <v>1200.0</v>
      </c>
      <c r="I6" s="89">
        <f t="shared" ref="I6:I7" si="1">H6/G6</f>
        <v>0.01263157895</v>
      </c>
      <c r="J6" s="90"/>
      <c r="K6" s="27"/>
      <c r="L6" s="91"/>
      <c r="T6" s="64"/>
      <c r="U6" s="64"/>
      <c r="V6" s="64"/>
      <c r="W6" s="64"/>
    </row>
    <row r="7">
      <c r="A7" s="92"/>
      <c r="B7" s="93"/>
      <c r="C7" s="94"/>
      <c r="D7" s="69"/>
      <c r="E7" s="86" t="s">
        <v>115</v>
      </c>
      <c r="F7" s="14"/>
      <c r="G7" s="79">
        <v>95000.0</v>
      </c>
      <c r="H7" s="89">
        <v>100.0</v>
      </c>
      <c r="I7" s="89">
        <f t="shared" si="1"/>
        <v>0.001052631579</v>
      </c>
      <c r="J7" s="90"/>
      <c r="K7" s="2" t="s">
        <v>116</v>
      </c>
      <c r="L7" s="71">
        <f>(L2-L3)/L4</f>
        <v>13000</v>
      </c>
      <c r="T7" s="64"/>
      <c r="U7" s="64"/>
      <c r="V7" s="64"/>
      <c r="W7" s="64"/>
    </row>
    <row r="8">
      <c r="A8" s="95"/>
      <c r="B8" s="96"/>
      <c r="C8" s="97"/>
      <c r="D8" s="69"/>
      <c r="E8" s="78" t="s">
        <v>117</v>
      </c>
      <c r="F8" s="14"/>
      <c r="G8" s="98"/>
      <c r="H8" s="99"/>
      <c r="I8" s="100">
        <f>I4+G5+I6+I7</f>
        <v>0.06261812865</v>
      </c>
      <c r="J8" s="90"/>
      <c r="K8" s="27"/>
      <c r="L8" s="101" t="s">
        <v>118</v>
      </c>
      <c r="T8" s="64"/>
      <c r="U8" s="64"/>
      <c r="V8" s="64"/>
      <c r="W8" s="64"/>
    </row>
    <row r="9">
      <c r="A9" s="102" t="s">
        <v>119</v>
      </c>
      <c r="B9" s="14"/>
      <c r="C9" s="85">
        <f>C3+C4+C5+C6</f>
        <v>1812.675</v>
      </c>
      <c r="D9" s="64"/>
      <c r="E9" s="103" t="s">
        <v>120</v>
      </c>
      <c r="F9" s="14"/>
      <c r="G9" s="104"/>
      <c r="H9" s="105"/>
      <c r="I9" s="99">
        <v>600.0</v>
      </c>
      <c r="J9" s="106"/>
      <c r="K9" s="70" t="s">
        <v>121</v>
      </c>
      <c r="L9" s="71">
        <f>I9+I10+L7+I11</f>
        <v>20140</v>
      </c>
      <c r="Q9" s="64"/>
      <c r="R9" s="64"/>
      <c r="S9" s="64"/>
      <c r="T9" s="64"/>
      <c r="U9" s="64"/>
      <c r="V9" s="64"/>
      <c r="W9" s="64"/>
    </row>
    <row r="10">
      <c r="A10" s="107" t="s">
        <v>122</v>
      </c>
      <c r="B10" s="14"/>
      <c r="C10" s="85">
        <f>C9/D2</f>
        <v>0.01908078947</v>
      </c>
      <c r="D10" s="64"/>
      <c r="E10" s="86" t="s">
        <v>123</v>
      </c>
      <c r="F10" s="14"/>
      <c r="G10" s="108">
        <v>0.02</v>
      </c>
      <c r="H10" s="89">
        <f>127000</f>
        <v>127000</v>
      </c>
      <c r="I10" s="89">
        <f>G10*H10</f>
        <v>2540</v>
      </c>
      <c r="J10" s="90"/>
      <c r="K10" s="27"/>
      <c r="L10" s="109" t="s">
        <v>124</v>
      </c>
      <c r="Q10" s="64"/>
      <c r="R10" s="64"/>
      <c r="S10" s="64"/>
      <c r="T10" s="64"/>
      <c r="U10" s="64"/>
      <c r="V10" s="64"/>
      <c r="W10" s="64"/>
    </row>
    <row r="11">
      <c r="A11" s="110" t="s">
        <v>125</v>
      </c>
      <c r="B11" s="14"/>
      <c r="C11" s="111">
        <f>(C9*14)/$D$2</f>
        <v>0.2671310526</v>
      </c>
      <c r="D11" s="64"/>
      <c r="E11" s="86" t="s">
        <v>108</v>
      </c>
      <c r="F11" s="14"/>
      <c r="G11" s="112"/>
      <c r="H11" s="89"/>
      <c r="I11" s="89">
        <v>4000.0</v>
      </c>
      <c r="J11" s="90"/>
      <c r="K11" s="6"/>
      <c r="L11" s="6"/>
      <c r="U11" s="64"/>
    </row>
    <row r="12">
      <c r="E12" s="53"/>
      <c r="F12" s="53"/>
      <c r="G12" s="53"/>
      <c r="K12" s="6" t="s">
        <v>126</v>
      </c>
      <c r="L12" s="113">
        <f>L9/$D$2</f>
        <v>0.212</v>
      </c>
      <c r="U12" s="64"/>
    </row>
    <row r="13">
      <c r="D13" s="64"/>
      <c r="E13" s="66" t="s">
        <v>127</v>
      </c>
      <c r="F13" s="67"/>
      <c r="G13" s="67"/>
      <c r="H13" s="14"/>
      <c r="K13" s="114" t="s">
        <v>128</v>
      </c>
      <c r="L13" s="115">
        <f>L12+I8</f>
        <v>0.2746181287</v>
      </c>
      <c r="M13" s="116"/>
      <c r="U13" s="64"/>
      <c r="V13" s="64"/>
      <c r="W13" s="64"/>
    </row>
    <row r="14">
      <c r="D14" s="64"/>
      <c r="E14" s="117"/>
      <c r="F14" s="117" t="s">
        <v>105</v>
      </c>
      <c r="G14" s="117" t="s">
        <v>129</v>
      </c>
      <c r="H14" s="117" t="s">
        <v>106</v>
      </c>
      <c r="U14" s="64"/>
      <c r="V14" s="64"/>
      <c r="W14" s="64"/>
    </row>
    <row r="15">
      <c r="D15" s="64"/>
      <c r="E15" s="118" t="s">
        <v>130</v>
      </c>
      <c r="F15" s="119">
        <v>180000.0</v>
      </c>
      <c r="G15" s="120">
        <v>1280.0</v>
      </c>
      <c r="H15" s="121">
        <f t="shared" ref="H15:H19" si="2">G15/F15</f>
        <v>0.007111111111</v>
      </c>
      <c r="K15" s="11"/>
      <c r="L15" s="11"/>
      <c r="M15" s="116"/>
      <c r="U15" s="64"/>
      <c r="V15" s="64"/>
      <c r="W15" s="64"/>
    </row>
    <row r="16">
      <c r="D16" s="64"/>
      <c r="E16" s="117" t="s">
        <v>131</v>
      </c>
      <c r="F16" s="119">
        <v>120000.0</v>
      </c>
      <c r="G16" s="120">
        <f>420*4</f>
        <v>1680</v>
      </c>
      <c r="H16" s="121">
        <f t="shared" si="2"/>
        <v>0.014</v>
      </c>
      <c r="U16" s="64"/>
      <c r="V16" s="64"/>
      <c r="W16" s="64"/>
    </row>
    <row r="17">
      <c r="D17" s="64"/>
      <c r="E17" s="117" t="s">
        <v>132</v>
      </c>
      <c r="F17" s="79">
        <v>200000.0</v>
      </c>
      <c r="G17" s="122">
        <v>740.0</v>
      </c>
      <c r="H17" s="121">
        <f t="shared" si="2"/>
        <v>0.0037</v>
      </c>
      <c r="K17" s="11"/>
      <c r="L17" s="11"/>
      <c r="U17" s="64"/>
      <c r="V17" s="64"/>
      <c r="W17" s="64"/>
    </row>
    <row r="18" ht="15.75" customHeight="1">
      <c r="D18" s="64"/>
      <c r="E18" s="117" t="s">
        <v>133</v>
      </c>
      <c r="F18" s="119">
        <v>180000.0</v>
      </c>
      <c r="G18" s="123">
        <v>620.0</v>
      </c>
      <c r="H18" s="121">
        <f t="shared" si="2"/>
        <v>0.003444444444</v>
      </c>
      <c r="K18" s="124"/>
      <c r="L18" s="53"/>
      <c r="Q18" s="64"/>
      <c r="R18" s="64"/>
      <c r="S18" s="64"/>
      <c r="T18" s="64"/>
      <c r="U18" s="64"/>
      <c r="V18" s="64"/>
      <c r="W18" s="64"/>
    </row>
    <row r="19" ht="15.75" customHeight="1">
      <c r="D19" s="64"/>
      <c r="E19" s="117" t="s">
        <v>134</v>
      </c>
      <c r="F19" s="119">
        <v>180000.0</v>
      </c>
      <c r="G19" s="120">
        <v>880.0</v>
      </c>
      <c r="H19" s="121">
        <f t="shared" si="2"/>
        <v>0.004888888889</v>
      </c>
      <c r="K19" s="53"/>
      <c r="L19" s="53"/>
      <c r="Q19" s="64"/>
      <c r="R19" s="64"/>
      <c r="S19" s="64"/>
      <c r="T19" s="64"/>
      <c r="U19" s="64"/>
      <c r="V19" s="64"/>
      <c r="W19" s="64"/>
    </row>
    <row r="20" ht="15.75" customHeight="1">
      <c r="D20" s="64"/>
      <c r="E20" s="117"/>
      <c r="F20" s="117"/>
      <c r="G20" s="123">
        <f t="shared" ref="G20:H20" si="3">SUM(G15:G19)</f>
        <v>5200</v>
      </c>
      <c r="H20" s="125">
        <f t="shared" si="3"/>
        <v>0.03314444444</v>
      </c>
      <c r="K20" s="53"/>
      <c r="L20" s="53"/>
      <c r="Q20" s="64"/>
      <c r="R20" s="64"/>
      <c r="S20" s="64"/>
      <c r="T20" s="64"/>
      <c r="U20" s="64"/>
      <c r="V20" s="64"/>
      <c r="W20" s="64"/>
    </row>
    <row r="21" ht="15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Q21" s="64"/>
      <c r="V21" s="64"/>
      <c r="W21" s="64"/>
    </row>
    <row r="22" ht="15.75" customHeight="1">
      <c r="A22" s="53"/>
      <c r="B22" s="53"/>
      <c r="C22" s="53"/>
      <c r="D22" s="53"/>
      <c r="E22" s="53"/>
      <c r="F22" s="53"/>
      <c r="G22" s="53"/>
      <c r="K22" s="53"/>
      <c r="L22" s="53"/>
    </row>
    <row r="23" ht="15.75" customHeight="1">
      <c r="A23" s="53"/>
      <c r="B23" s="53"/>
      <c r="C23" s="53"/>
      <c r="D23" s="53"/>
      <c r="E23" s="53"/>
      <c r="F23" s="53"/>
      <c r="G23" s="53"/>
      <c r="K23" s="53"/>
      <c r="L23" s="53"/>
    </row>
    <row r="24" ht="15.75" customHeight="1">
      <c r="A24" s="53"/>
      <c r="B24" s="53"/>
      <c r="C24" s="53"/>
      <c r="D24" s="53"/>
      <c r="E24" s="53"/>
      <c r="F24" s="53"/>
      <c r="G24" s="53"/>
      <c r="K24" s="53"/>
      <c r="L24" s="53"/>
    </row>
    <row r="25" ht="15.75" customHeight="1">
      <c r="A25" s="53"/>
      <c r="B25" s="53"/>
      <c r="C25" s="53"/>
      <c r="D25" s="53"/>
      <c r="E25" s="53"/>
      <c r="F25" s="53"/>
      <c r="G25" s="53"/>
      <c r="K25" s="53"/>
      <c r="L25" s="53"/>
    </row>
    <row r="26" ht="15.75" customHeight="1">
      <c r="A26" s="53"/>
      <c r="B26" s="53"/>
      <c r="C26" s="53"/>
      <c r="D26" s="53"/>
      <c r="E26" s="53"/>
      <c r="F26" s="53"/>
      <c r="G26" s="53"/>
      <c r="K26" s="53"/>
      <c r="L26" s="53"/>
    </row>
    <row r="27" ht="15.75" customHeight="1">
      <c r="A27" s="53"/>
      <c r="B27" s="53"/>
      <c r="C27" s="53"/>
      <c r="D27" s="53"/>
      <c r="E27" s="53"/>
      <c r="F27" s="53"/>
      <c r="G27" s="53"/>
      <c r="K27" s="53"/>
      <c r="L27" s="53"/>
    </row>
    <row r="28" ht="15.75" customHeight="1">
      <c r="A28" s="53"/>
      <c r="B28" s="53"/>
      <c r="C28" s="53"/>
      <c r="D28" s="53"/>
      <c r="E28" s="53"/>
      <c r="F28" s="53"/>
      <c r="G28" s="53"/>
      <c r="K28" s="53"/>
      <c r="L28" s="53"/>
    </row>
    <row r="29" ht="15.75" customHeight="1">
      <c r="A29" s="53"/>
      <c r="B29" s="53"/>
      <c r="C29" s="53"/>
      <c r="D29" s="53"/>
      <c r="E29" s="53"/>
      <c r="F29" s="53"/>
      <c r="G29" s="53"/>
      <c r="K29" s="53"/>
      <c r="L29" s="53"/>
    </row>
    <row r="30" ht="15.75" customHeight="1">
      <c r="A30" s="53"/>
      <c r="B30" s="53"/>
      <c r="C30" s="53"/>
      <c r="D30" s="53"/>
      <c r="E30" s="53"/>
      <c r="F30" s="53"/>
      <c r="G30" s="53"/>
      <c r="K30" s="53"/>
      <c r="L30" s="53"/>
    </row>
    <row r="31" ht="15.75" customHeight="1">
      <c r="A31" s="53"/>
      <c r="B31" s="53"/>
      <c r="C31" s="53"/>
      <c r="D31" s="53"/>
      <c r="E31" s="53"/>
      <c r="F31" s="53"/>
      <c r="G31" s="53"/>
      <c r="K31" s="53"/>
      <c r="L31" s="53"/>
    </row>
    <row r="32" ht="15.75" customHeight="1">
      <c r="A32" s="53"/>
      <c r="B32" s="53"/>
      <c r="C32" s="53"/>
      <c r="D32" s="53"/>
      <c r="E32" s="53"/>
      <c r="F32" s="53"/>
      <c r="G32" s="53"/>
      <c r="K32" s="53"/>
      <c r="L32" s="53"/>
    </row>
    <row r="33" ht="15.75" customHeight="1">
      <c r="A33" s="53"/>
      <c r="B33" s="53"/>
      <c r="C33" s="53"/>
      <c r="D33" s="53"/>
      <c r="E33" s="53"/>
      <c r="F33" s="53"/>
      <c r="G33" s="53"/>
      <c r="K33" s="53"/>
      <c r="L33" s="53"/>
    </row>
    <row r="34" ht="15.75" customHeight="1">
      <c r="A34" s="53"/>
      <c r="B34" s="53"/>
      <c r="C34" s="53"/>
      <c r="D34" s="53"/>
      <c r="E34" s="53"/>
      <c r="F34" s="53"/>
      <c r="G34" s="53"/>
      <c r="K34" s="53"/>
      <c r="L34" s="53"/>
    </row>
    <row r="35" ht="15.75" customHeight="1">
      <c r="A35" s="53"/>
      <c r="B35" s="53"/>
      <c r="C35" s="53"/>
      <c r="D35" s="53"/>
      <c r="E35" s="53"/>
      <c r="F35" s="53"/>
      <c r="G35" s="53"/>
      <c r="K35" s="53"/>
      <c r="L35" s="53"/>
    </row>
    <row r="36" ht="15.75" customHeight="1">
      <c r="A36" s="53"/>
      <c r="B36" s="53"/>
      <c r="C36" s="53"/>
      <c r="D36" s="53"/>
      <c r="E36" s="53"/>
      <c r="F36" s="53"/>
      <c r="G36" s="53"/>
      <c r="K36" s="53"/>
      <c r="L36" s="53"/>
    </row>
    <row r="37" ht="15.75" customHeight="1">
      <c r="A37" s="53"/>
      <c r="B37" s="53"/>
      <c r="C37" s="53"/>
      <c r="D37" s="53"/>
      <c r="E37" s="53"/>
      <c r="F37" s="53"/>
      <c r="G37" s="53"/>
      <c r="K37" s="53"/>
      <c r="L37" s="53"/>
    </row>
    <row r="38" ht="15.75" customHeight="1">
      <c r="A38" s="53"/>
      <c r="B38" s="53"/>
      <c r="C38" s="53"/>
      <c r="D38" s="53"/>
      <c r="E38" s="53"/>
      <c r="F38" s="53"/>
      <c r="G38" s="53"/>
      <c r="K38" s="53"/>
      <c r="L38" s="53"/>
    </row>
    <row r="39" ht="15.75" customHeight="1">
      <c r="A39" s="53"/>
      <c r="B39" s="53"/>
      <c r="C39" s="53"/>
      <c r="D39" s="53"/>
      <c r="E39" s="53"/>
      <c r="F39" s="53"/>
      <c r="G39" s="53"/>
      <c r="K39" s="53"/>
      <c r="L39" s="53"/>
    </row>
    <row r="40" ht="15.75" customHeight="1">
      <c r="A40" s="53"/>
      <c r="B40" s="53"/>
      <c r="C40" s="53"/>
      <c r="D40" s="53"/>
      <c r="E40" s="53"/>
      <c r="F40" s="53"/>
      <c r="G40" s="53"/>
      <c r="K40" s="53"/>
      <c r="L40" s="53"/>
    </row>
    <row r="41" ht="15.75" customHeight="1">
      <c r="A41" s="53"/>
      <c r="B41" s="53"/>
      <c r="C41" s="53"/>
      <c r="D41" s="53"/>
      <c r="E41" s="53"/>
      <c r="F41" s="53"/>
      <c r="G41" s="53"/>
      <c r="K41" s="53"/>
      <c r="L41" s="53"/>
    </row>
    <row r="42" ht="15.75" customHeight="1">
      <c r="A42" s="53"/>
      <c r="B42" s="53"/>
      <c r="C42" s="53"/>
      <c r="D42" s="53"/>
      <c r="E42" s="53"/>
      <c r="F42" s="53"/>
      <c r="G42" s="53"/>
      <c r="K42" s="53"/>
      <c r="L42" s="53"/>
    </row>
    <row r="43" ht="15.75" customHeight="1">
      <c r="A43" s="53"/>
      <c r="B43" s="53"/>
      <c r="C43" s="53"/>
      <c r="D43" s="53"/>
      <c r="E43" s="53"/>
      <c r="F43" s="53"/>
      <c r="G43" s="53"/>
      <c r="K43" s="53"/>
      <c r="L43" s="53"/>
    </row>
    <row r="44" ht="15.75" customHeight="1">
      <c r="A44" s="53"/>
      <c r="B44" s="53"/>
      <c r="C44" s="53"/>
      <c r="D44" s="53"/>
      <c r="E44" s="53"/>
      <c r="F44" s="53"/>
      <c r="G44" s="53"/>
      <c r="K44" s="53"/>
      <c r="L44" s="53"/>
    </row>
    <row r="45" ht="15.75" customHeight="1">
      <c r="A45" s="53"/>
      <c r="B45" s="53"/>
      <c r="C45" s="53"/>
      <c r="D45" s="53"/>
      <c r="E45" s="53"/>
      <c r="F45" s="53"/>
      <c r="G45" s="53"/>
      <c r="K45" s="53"/>
      <c r="L45" s="53"/>
    </row>
    <row r="46" ht="15.75" customHeight="1">
      <c r="A46" s="53"/>
      <c r="B46" s="53"/>
      <c r="C46" s="53"/>
      <c r="D46" s="53"/>
      <c r="E46" s="53"/>
      <c r="F46" s="53"/>
      <c r="G46" s="53"/>
      <c r="K46" s="53"/>
      <c r="L46" s="53"/>
    </row>
    <row r="47" ht="15.75" customHeight="1">
      <c r="A47" s="53"/>
      <c r="B47" s="53"/>
      <c r="C47" s="53"/>
      <c r="D47" s="53"/>
      <c r="E47" s="53"/>
      <c r="F47" s="53"/>
      <c r="G47" s="53"/>
      <c r="K47" s="53"/>
      <c r="L47" s="53"/>
    </row>
    <row r="48" ht="15.75" customHeight="1">
      <c r="A48" s="53"/>
      <c r="B48" s="53"/>
      <c r="C48" s="53"/>
      <c r="D48" s="53"/>
      <c r="E48" s="53"/>
      <c r="F48" s="53"/>
      <c r="G48" s="53"/>
      <c r="K48" s="53"/>
      <c r="L48" s="53"/>
    </row>
    <row r="49" ht="15.75" customHeight="1">
      <c r="A49" s="53"/>
      <c r="B49" s="53"/>
      <c r="C49" s="53"/>
      <c r="D49" s="53"/>
      <c r="E49" s="53"/>
      <c r="F49" s="53"/>
      <c r="G49" s="53"/>
      <c r="K49" s="53"/>
      <c r="L49" s="53"/>
    </row>
    <row r="50" ht="15.75" customHeight="1">
      <c r="A50" s="53"/>
      <c r="B50" s="53"/>
      <c r="C50" s="53"/>
      <c r="D50" s="53"/>
      <c r="E50" s="53"/>
      <c r="F50" s="53"/>
      <c r="G50" s="53"/>
      <c r="K50" s="53"/>
      <c r="L50" s="53"/>
    </row>
    <row r="51" ht="15.75" customHeight="1">
      <c r="A51" s="53"/>
      <c r="B51" s="53"/>
      <c r="C51" s="53"/>
      <c r="D51" s="53"/>
      <c r="E51" s="53"/>
      <c r="F51" s="53"/>
      <c r="G51" s="53"/>
      <c r="K51" s="53"/>
      <c r="L51" s="53"/>
    </row>
    <row r="52" ht="15.75" customHeight="1">
      <c r="A52" s="53"/>
      <c r="B52" s="53"/>
      <c r="C52" s="53"/>
      <c r="D52" s="53"/>
      <c r="E52" s="53"/>
      <c r="F52" s="53"/>
      <c r="G52" s="53"/>
      <c r="K52" s="53"/>
      <c r="L52" s="53"/>
    </row>
    <row r="53" ht="15.75" customHeight="1">
      <c r="A53" s="53"/>
      <c r="B53" s="53"/>
      <c r="C53" s="53"/>
      <c r="D53" s="53"/>
      <c r="E53" s="53"/>
      <c r="F53" s="53"/>
      <c r="G53" s="53"/>
      <c r="K53" s="53"/>
      <c r="L53" s="53"/>
    </row>
    <row r="54" ht="15.75" customHeight="1">
      <c r="A54" s="53"/>
      <c r="B54" s="53"/>
      <c r="C54" s="53"/>
      <c r="D54" s="53"/>
      <c r="E54" s="53"/>
      <c r="F54" s="53"/>
      <c r="G54" s="53"/>
      <c r="K54" s="53"/>
      <c r="L54" s="53"/>
    </row>
    <row r="55" ht="15.75" customHeight="1">
      <c r="A55" s="53"/>
      <c r="B55" s="53"/>
      <c r="C55" s="53"/>
      <c r="D55" s="53"/>
      <c r="E55" s="53"/>
      <c r="F55" s="53"/>
      <c r="G55" s="53"/>
      <c r="K55" s="53"/>
      <c r="L55" s="53"/>
    </row>
    <row r="56" ht="15.75" customHeight="1">
      <c r="A56" s="53"/>
      <c r="B56" s="53"/>
      <c r="C56" s="53"/>
      <c r="D56" s="53"/>
      <c r="E56" s="53"/>
      <c r="F56" s="53"/>
      <c r="G56" s="53"/>
      <c r="K56" s="53"/>
      <c r="L56" s="53"/>
    </row>
    <row r="57" ht="15.75" customHeight="1">
      <c r="A57" s="53"/>
      <c r="B57" s="53"/>
      <c r="C57" s="53"/>
      <c r="D57" s="53"/>
      <c r="E57" s="53"/>
      <c r="F57" s="53"/>
      <c r="G57" s="53"/>
      <c r="K57" s="53"/>
      <c r="L57" s="53"/>
    </row>
    <row r="58" ht="15.75" customHeight="1">
      <c r="A58" s="53"/>
      <c r="B58" s="53"/>
      <c r="C58" s="53"/>
      <c r="D58" s="53"/>
      <c r="E58" s="53"/>
      <c r="F58" s="53"/>
      <c r="G58" s="53"/>
      <c r="K58" s="53"/>
      <c r="L58" s="53"/>
    </row>
    <row r="59" ht="15.75" customHeight="1">
      <c r="A59" s="53"/>
      <c r="B59" s="53"/>
      <c r="C59" s="53"/>
      <c r="D59" s="53"/>
      <c r="E59" s="53"/>
      <c r="F59" s="53"/>
      <c r="G59" s="53"/>
      <c r="K59" s="53"/>
      <c r="L59" s="53"/>
    </row>
    <row r="60" ht="15.75" customHeight="1">
      <c r="A60" s="53"/>
      <c r="B60" s="53"/>
      <c r="C60" s="53"/>
      <c r="D60" s="53"/>
      <c r="E60" s="53"/>
      <c r="F60" s="53"/>
      <c r="G60" s="53"/>
      <c r="K60" s="53"/>
      <c r="L60" s="53"/>
    </row>
    <row r="61" ht="15.75" customHeight="1">
      <c r="A61" s="53"/>
      <c r="B61" s="53"/>
      <c r="C61" s="53"/>
      <c r="D61" s="53"/>
      <c r="E61" s="53"/>
      <c r="F61" s="53"/>
      <c r="G61" s="53"/>
      <c r="K61" s="53"/>
      <c r="L61" s="53"/>
    </row>
    <row r="62" ht="15.75" customHeight="1">
      <c r="A62" s="53"/>
      <c r="B62" s="53"/>
      <c r="C62" s="53"/>
      <c r="D62" s="53"/>
      <c r="E62" s="53"/>
      <c r="F62" s="53"/>
      <c r="G62" s="53"/>
      <c r="K62" s="53"/>
      <c r="L62" s="53"/>
    </row>
    <row r="63" ht="15.75" customHeight="1">
      <c r="A63" s="53"/>
      <c r="B63" s="53"/>
      <c r="C63" s="53"/>
      <c r="D63" s="53"/>
      <c r="E63" s="53"/>
      <c r="F63" s="53"/>
      <c r="G63" s="53"/>
      <c r="K63" s="53"/>
      <c r="L63" s="53"/>
    </row>
    <row r="64" ht="15.75" customHeight="1">
      <c r="A64" s="53"/>
      <c r="B64" s="53"/>
      <c r="C64" s="53"/>
      <c r="D64" s="53"/>
      <c r="E64" s="53"/>
      <c r="F64" s="53"/>
      <c r="G64" s="53"/>
      <c r="K64" s="53"/>
      <c r="L64" s="53"/>
    </row>
    <row r="65" ht="15.75" customHeight="1">
      <c r="A65" s="53"/>
      <c r="B65" s="53"/>
      <c r="C65" s="53"/>
      <c r="D65" s="53"/>
      <c r="E65" s="53"/>
      <c r="F65" s="53"/>
      <c r="G65" s="53"/>
      <c r="K65" s="53"/>
      <c r="L65" s="53"/>
    </row>
    <row r="66" ht="15.75" customHeight="1">
      <c r="A66" s="53"/>
      <c r="B66" s="53"/>
      <c r="C66" s="53"/>
      <c r="D66" s="53"/>
      <c r="E66" s="53"/>
      <c r="F66" s="53"/>
      <c r="G66" s="53"/>
      <c r="K66" s="53"/>
      <c r="L66" s="53"/>
    </row>
    <row r="67" ht="15.75" customHeight="1">
      <c r="A67" s="53"/>
      <c r="B67" s="53"/>
      <c r="C67" s="53"/>
      <c r="D67" s="53"/>
      <c r="E67" s="53"/>
      <c r="F67" s="53"/>
      <c r="G67" s="53"/>
      <c r="K67" s="53"/>
      <c r="L67" s="53"/>
    </row>
    <row r="68" ht="15.75" customHeight="1">
      <c r="A68" s="53"/>
      <c r="B68" s="53"/>
      <c r="C68" s="53"/>
      <c r="D68" s="53"/>
      <c r="E68" s="53"/>
      <c r="F68" s="53"/>
      <c r="G68" s="53"/>
      <c r="K68" s="53"/>
      <c r="L68" s="53"/>
    </row>
    <row r="69" ht="15.75" customHeight="1">
      <c r="A69" s="53"/>
      <c r="B69" s="53"/>
      <c r="C69" s="53"/>
      <c r="D69" s="53"/>
      <c r="E69" s="53"/>
      <c r="F69" s="53"/>
      <c r="G69" s="53"/>
      <c r="K69" s="53"/>
      <c r="L69" s="53"/>
    </row>
    <row r="70" ht="15.75" customHeight="1">
      <c r="A70" s="53"/>
      <c r="B70" s="53"/>
      <c r="C70" s="53"/>
      <c r="D70" s="53"/>
      <c r="E70" s="53"/>
      <c r="F70" s="53"/>
      <c r="G70" s="53"/>
      <c r="K70" s="53"/>
      <c r="L70" s="53"/>
    </row>
    <row r="71" ht="15.75" customHeight="1">
      <c r="A71" s="53"/>
      <c r="B71" s="53"/>
      <c r="C71" s="53"/>
      <c r="D71" s="53"/>
      <c r="E71" s="53"/>
      <c r="F71" s="53"/>
      <c r="G71" s="53"/>
      <c r="K71" s="53"/>
      <c r="L71" s="53"/>
    </row>
    <row r="72" ht="15.75" customHeight="1">
      <c r="A72" s="53"/>
      <c r="B72" s="53"/>
      <c r="C72" s="53"/>
      <c r="D72" s="53"/>
      <c r="E72" s="53"/>
      <c r="F72" s="53"/>
      <c r="G72" s="53"/>
      <c r="K72" s="53"/>
      <c r="L72" s="53"/>
    </row>
    <row r="73" ht="15.75" customHeight="1">
      <c r="A73" s="53"/>
      <c r="B73" s="53"/>
      <c r="C73" s="53"/>
      <c r="D73" s="53"/>
      <c r="E73" s="53"/>
      <c r="F73" s="53"/>
      <c r="G73" s="53"/>
      <c r="K73" s="53"/>
      <c r="L73" s="53"/>
    </row>
    <row r="74" ht="15.75" customHeight="1">
      <c r="A74" s="53"/>
      <c r="B74" s="53"/>
      <c r="C74" s="53"/>
      <c r="D74" s="53"/>
      <c r="E74" s="53"/>
      <c r="F74" s="53"/>
      <c r="G74" s="53"/>
      <c r="K74" s="53"/>
      <c r="L74" s="53"/>
    </row>
    <row r="75" ht="15.75" customHeight="1">
      <c r="A75" s="53"/>
      <c r="B75" s="53"/>
      <c r="C75" s="53"/>
      <c r="D75" s="53"/>
      <c r="E75" s="53"/>
      <c r="F75" s="53"/>
      <c r="G75" s="53"/>
      <c r="K75" s="53"/>
      <c r="L75" s="53"/>
    </row>
    <row r="76" ht="15.75" customHeight="1">
      <c r="A76" s="53"/>
      <c r="B76" s="53"/>
      <c r="C76" s="53"/>
      <c r="D76" s="53"/>
      <c r="E76" s="53"/>
      <c r="F76" s="53"/>
      <c r="G76" s="53"/>
      <c r="K76" s="53"/>
      <c r="L76" s="53"/>
    </row>
    <row r="77" ht="15.75" customHeight="1">
      <c r="A77" s="53"/>
      <c r="B77" s="53"/>
      <c r="C77" s="53"/>
      <c r="D77" s="53"/>
      <c r="E77" s="53"/>
      <c r="F77" s="53"/>
      <c r="G77" s="53"/>
      <c r="K77" s="53"/>
      <c r="L77" s="53"/>
    </row>
    <row r="78" ht="15.75" customHeight="1">
      <c r="A78" s="53"/>
      <c r="B78" s="53"/>
      <c r="C78" s="53"/>
      <c r="D78" s="53"/>
      <c r="E78" s="53"/>
      <c r="F78" s="53"/>
      <c r="G78" s="53"/>
      <c r="K78" s="53"/>
      <c r="L78" s="53"/>
    </row>
    <row r="79" ht="15.75" customHeight="1">
      <c r="A79" s="53"/>
      <c r="B79" s="53"/>
      <c r="C79" s="53"/>
      <c r="D79" s="53"/>
      <c r="E79" s="53"/>
      <c r="F79" s="53"/>
      <c r="G79" s="53"/>
      <c r="K79" s="53"/>
      <c r="L79" s="53"/>
    </row>
    <row r="80" ht="15.75" customHeight="1">
      <c r="A80" s="53"/>
      <c r="B80" s="53"/>
      <c r="C80" s="53"/>
      <c r="D80" s="53"/>
      <c r="E80" s="53"/>
      <c r="F80" s="53"/>
      <c r="G80" s="53"/>
      <c r="K80" s="53"/>
      <c r="L80" s="53"/>
    </row>
    <row r="81" ht="15.75" customHeight="1">
      <c r="A81" s="53"/>
      <c r="B81" s="53"/>
      <c r="C81" s="53"/>
      <c r="D81" s="53"/>
      <c r="E81" s="53"/>
      <c r="F81" s="53"/>
      <c r="G81" s="53"/>
      <c r="K81" s="53"/>
      <c r="L81" s="53"/>
    </row>
    <row r="82" ht="15.75" customHeight="1">
      <c r="A82" s="53"/>
      <c r="B82" s="53"/>
      <c r="C82" s="53"/>
      <c r="D82" s="53"/>
      <c r="E82" s="53"/>
      <c r="F82" s="53"/>
      <c r="G82" s="53"/>
      <c r="K82" s="53"/>
      <c r="L82" s="53"/>
    </row>
    <row r="83" ht="15.75" customHeight="1">
      <c r="A83" s="53"/>
      <c r="B83" s="53"/>
      <c r="C83" s="53"/>
      <c r="D83" s="53"/>
      <c r="E83" s="53"/>
      <c r="F83" s="53"/>
      <c r="G83" s="53"/>
      <c r="K83" s="53"/>
      <c r="L83" s="53"/>
    </row>
    <row r="84" ht="15.75" customHeight="1">
      <c r="A84" s="53"/>
      <c r="B84" s="53"/>
      <c r="C84" s="53"/>
      <c r="D84" s="53"/>
      <c r="E84" s="53"/>
      <c r="F84" s="53"/>
      <c r="G84" s="53"/>
      <c r="K84" s="53"/>
      <c r="L84" s="53"/>
    </row>
    <row r="85" ht="15.75" customHeight="1">
      <c r="A85" s="53"/>
      <c r="B85" s="53"/>
      <c r="C85" s="53"/>
      <c r="D85" s="53"/>
      <c r="E85" s="53"/>
      <c r="F85" s="53"/>
      <c r="G85" s="53"/>
      <c r="K85" s="53"/>
      <c r="L85" s="53"/>
    </row>
    <row r="86" ht="15.75" customHeight="1">
      <c r="A86" s="53"/>
      <c r="B86" s="53"/>
      <c r="C86" s="53"/>
      <c r="D86" s="53"/>
      <c r="E86" s="53"/>
      <c r="F86" s="53"/>
      <c r="G86" s="53"/>
      <c r="K86" s="53"/>
      <c r="L86" s="53"/>
    </row>
    <row r="87" ht="15.75" customHeight="1">
      <c r="A87" s="53"/>
      <c r="B87" s="53"/>
      <c r="C87" s="53"/>
      <c r="D87" s="53"/>
      <c r="E87" s="53"/>
      <c r="F87" s="53"/>
      <c r="G87" s="53"/>
      <c r="K87" s="53"/>
      <c r="L87" s="53"/>
    </row>
    <row r="88" ht="15.75" customHeight="1">
      <c r="A88" s="53"/>
      <c r="B88" s="53"/>
      <c r="C88" s="53"/>
      <c r="D88" s="53"/>
      <c r="E88" s="53"/>
      <c r="F88" s="53"/>
      <c r="G88" s="53"/>
      <c r="K88" s="53"/>
      <c r="L88" s="53"/>
    </row>
    <row r="89" ht="15.75" customHeight="1">
      <c r="A89" s="53"/>
      <c r="B89" s="53"/>
      <c r="C89" s="53"/>
      <c r="D89" s="53"/>
      <c r="E89" s="53"/>
      <c r="F89" s="53"/>
      <c r="G89" s="53"/>
      <c r="K89" s="53"/>
      <c r="L89" s="53"/>
    </row>
    <row r="90" ht="15.75" customHeight="1">
      <c r="A90" s="53"/>
      <c r="B90" s="53"/>
      <c r="C90" s="53"/>
      <c r="D90" s="53"/>
      <c r="E90" s="53"/>
      <c r="F90" s="53"/>
      <c r="G90" s="53"/>
      <c r="K90" s="53"/>
      <c r="L90" s="53"/>
    </row>
    <row r="91" ht="15.75" customHeight="1">
      <c r="A91" s="53"/>
      <c r="B91" s="53"/>
      <c r="C91" s="53"/>
      <c r="D91" s="53"/>
      <c r="E91" s="53"/>
      <c r="F91" s="53"/>
      <c r="G91" s="53"/>
      <c r="K91" s="53"/>
      <c r="L91" s="53"/>
    </row>
    <row r="92" ht="15.75" customHeight="1">
      <c r="A92" s="53"/>
      <c r="B92" s="53"/>
      <c r="C92" s="53"/>
      <c r="D92" s="53"/>
      <c r="E92" s="53"/>
      <c r="F92" s="53"/>
      <c r="G92" s="53"/>
      <c r="K92" s="53"/>
      <c r="L92" s="53"/>
    </row>
    <row r="93" ht="15.75" customHeight="1">
      <c r="A93" s="53"/>
      <c r="B93" s="53"/>
      <c r="C93" s="53"/>
      <c r="D93" s="53"/>
      <c r="E93" s="53"/>
      <c r="F93" s="53"/>
      <c r="G93" s="53"/>
      <c r="K93" s="53"/>
      <c r="L93" s="53"/>
    </row>
    <row r="94" ht="15.75" customHeight="1">
      <c r="A94" s="53"/>
      <c r="B94" s="53"/>
      <c r="C94" s="53"/>
      <c r="D94" s="53"/>
      <c r="E94" s="53"/>
      <c r="F94" s="53"/>
      <c r="G94" s="53"/>
      <c r="K94" s="53"/>
      <c r="L94" s="53"/>
    </row>
    <row r="95" ht="15.75" customHeight="1">
      <c r="A95" s="53"/>
      <c r="B95" s="53"/>
      <c r="C95" s="53"/>
      <c r="D95" s="53"/>
      <c r="E95" s="53"/>
      <c r="F95" s="53"/>
      <c r="G95" s="53"/>
      <c r="K95" s="53"/>
      <c r="L95" s="53"/>
    </row>
    <row r="96" ht="15.75" customHeight="1">
      <c r="A96" s="53"/>
      <c r="B96" s="53"/>
      <c r="C96" s="53"/>
      <c r="D96" s="53"/>
      <c r="E96" s="53"/>
      <c r="F96" s="53"/>
      <c r="G96" s="53"/>
      <c r="K96" s="53"/>
      <c r="L96" s="53"/>
    </row>
    <row r="97" ht="15.75" customHeight="1">
      <c r="A97" s="53"/>
      <c r="B97" s="53"/>
      <c r="C97" s="53"/>
      <c r="D97" s="53"/>
      <c r="E97" s="53"/>
      <c r="F97" s="53"/>
      <c r="G97" s="53"/>
      <c r="K97" s="53"/>
      <c r="L97" s="53"/>
    </row>
    <row r="98" ht="15.75" customHeight="1">
      <c r="A98" s="53"/>
      <c r="B98" s="53"/>
      <c r="C98" s="53"/>
      <c r="D98" s="53"/>
      <c r="E98" s="53"/>
      <c r="F98" s="53"/>
      <c r="G98" s="53"/>
      <c r="K98" s="53"/>
      <c r="L98" s="53"/>
    </row>
    <row r="99" ht="15.75" customHeight="1">
      <c r="A99" s="53"/>
      <c r="B99" s="53"/>
      <c r="C99" s="53"/>
      <c r="D99" s="53"/>
      <c r="E99" s="53"/>
      <c r="F99" s="53"/>
      <c r="G99" s="53"/>
      <c r="K99" s="53"/>
      <c r="L99" s="53"/>
    </row>
    <row r="100" ht="15.75" customHeight="1">
      <c r="A100" s="53"/>
      <c r="B100" s="53"/>
      <c r="C100" s="53"/>
      <c r="D100" s="53"/>
      <c r="E100" s="53"/>
      <c r="F100" s="53"/>
      <c r="G100" s="53"/>
      <c r="K100" s="53"/>
      <c r="L100" s="53"/>
    </row>
    <row r="101" ht="15.75" customHeight="1">
      <c r="A101" s="53"/>
      <c r="B101" s="53"/>
      <c r="C101" s="53"/>
      <c r="D101" s="53"/>
      <c r="E101" s="53"/>
      <c r="F101" s="53"/>
      <c r="G101" s="53"/>
      <c r="K101" s="53"/>
      <c r="L101" s="53"/>
    </row>
    <row r="102" ht="15.75" customHeight="1">
      <c r="A102" s="53"/>
      <c r="B102" s="53"/>
      <c r="C102" s="53"/>
      <c r="D102" s="53"/>
      <c r="E102" s="53"/>
      <c r="F102" s="53"/>
      <c r="G102" s="53"/>
      <c r="K102" s="53"/>
      <c r="L102" s="53"/>
    </row>
    <row r="103" ht="15.75" customHeight="1">
      <c r="A103" s="53"/>
      <c r="B103" s="53"/>
      <c r="C103" s="53"/>
      <c r="D103" s="53"/>
      <c r="E103" s="53"/>
      <c r="F103" s="53"/>
      <c r="G103" s="53"/>
      <c r="K103" s="53"/>
      <c r="L103" s="53"/>
    </row>
    <row r="104" ht="15.75" customHeight="1">
      <c r="A104" s="53"/>
      <c r="B104" s="53"/>
      <c r="C104" s="53"/>
      <c r="D104" s="53"/>
      <c r="E104" s="53"/>
      <c r="F104" s="53"/>
      <c r="G104" s="53"/>
      <c r="K104" s="53"/>
      <c r="L104" s="53"/>
    </row>
    <row r="105" ht="15.75" customHeight="1">
      <c r="A105" s="53"/>
      <c r="B105" s="53"/>
      <c r="C105" s="53"/>
      <c r="D105" s="53"/>
      <c r="E105" s="53"/>
      <c r="F105" s="53"/>
      <c r="G105" s="53"/>
      <c r="K105" s="53"/>
      <c r="L105" s="53"/>
    </row>
    <row r="106" ht="15.75" customHeight="1">
      <c r="A106" s="53"/>
      <c r="B106" s="53"/>
      <c r="C106" s="53"/>
      <c r="D106" s="53"/>
      <c r="E106" s="53"/>
      <c r="F106" s="53"/>
      <c r="G106" s="53"/>
      <c r="K106" s="53"/>
      <c r="L106" s="53"/>
    </row>
    <row r="107" ht="15.75" customHeight="1">
      <c r="A107" s="53"/>
      <c r="B107" s="53"/>
      <c r="C107" s="53"/>
      <c r="D107" s="53"/>
      <c r="E107" s="53"/>
      <c r="F107" s="53"/>
      <c r="G107" s="53"/>
      <c r="K107" s="53"/>
      <c r="L107" s="53"/>
    </row>
    <row r="108" ht="15.75" customHeight="1">
      <c r="A108" s="53"/>
      <c r="B108" s="53"/>
      <c r="C108" s="53"/>
      <c r="D108" s="53"/>
      <c r="E108" s="53"/>
      <c r="F108" s="53"/>
      <c r="G108" s="53"/>
      <c r="K108" s="53"/>
      <c r="L108" s="53"/>
    </row>
    <row r="109" ht="15.75" customHeight="1">
      <c r="A109" s="53"/>
      <c r="B109" s="53"/>
      <c r="C109" s="53"/>
      <c r="D109" s="53"/>
      <c r="E109" s="53"/>
      <c r="F109" s="53"/>
      <c r="G109" s="53"/>
      <c r="K109" s="53"/>
      <c r="L109" s="53"/>
    </row>
    <row r="110" ht="15.75" customHeight="1">
      <c r="A110" s="53"/>
      <c r="B110" s="53"/>
      <c r="C110" s="53"/>
      <c r="D110" s="53"/>
      <c r="E110" s="53"/>
      <c r="F110" s="53"/>
      <c r="G110" s="53"/>
      <c r="K110" s="53"/>
      <c r="L110" s="53"/>
    </row>
    <row r="111" ht="15.75" customHeight="1">
      <c r="A111" s="53"/>
      <c r="B111" s="53"/>
      <c r="C111" s="53"/>
      <c r="D111" s="53"/>
      <c r="E111" s="53"/>
      <c r="F111" s="53"/>
      <c r="G111" s="53"/>
      <c r="K111" s="53"/>
      <c r="L111" s="53"/>
    </row>
    <row r="112" ht="15.75" customHeight="1">
      <c r="A112" s="53"/>
      <c r="B112" s="53"/>
      <c r="C112" s="53"/>
      <c r="D112" s="53"/>
      <c r="E112" s="53"/>
      <c r="F112" s="53"/>
      <c r="G112" s="53"/>
      <c r="K112" s="53"/>
      <c r="L112" s="53"/>
    </row>
    <row r="113" ht="15.75" customHeight="1">
      <c r="A113" s="53"/>
      <c r="B113" s="53"/>
      <c r="C113" s="53"/>
      <c r="D113" s="53"/>
      <c r="E113" s="53"/>
      <c r="F113" s="53"/>
      <c r="G113" s="53"/>
      <c r="K113" s="53"/>
      <c r="L113" s="53"/>
    </row>
    <row r="114" ht="15.75" customHeight="1">
      <c r="A114" s="53"/>
      <c r="B114" s="53"/>
      <c r="C114" s="53"/>
      <c r="D114" s="53"/>
      <c r="E114" s="53"/>
      <c r="F114" s="53"/>
      <c r="G114" s="53"/>
      <c r="K114" s="53"/>
      <c r="L114" s="53"/>
    </row>
    <row r="115" ht="15.75" customHeight="1">
      <c r="A115" s="53"/>
      <c r="B115" s="53"/>
      <c r="C115" s="53"/>
      <c r="D115" s="53"/>
      <c r="E115" s="53"/>
      <c r="F115" s="53"/>
      <c r="G115" s="53"/>
      <c r="K115" s="53"/>
      <c r="L115" s="53"/>
    </row>
    <row r="116" ht="15.75" customHeight="1">
      <c r="A116" s="53"/>
      <c r="B116" s="53"/>
      <c r="C116" s="53"/>
      <c r="D116" s="53"/>
      <c r="E116" s="53"/>
      <c r="F116" s="53"/>
      <c r="G116" s="53"/>
      <c r="K116" s="53"/>
      <c r="L116" s="53"/>
    </row>
    <row r="117" ht="15.75" customHeight="1">
      <c r="A117" s="53"/>
      <c r="B117" s="53"/>
      <c r="C117" s="53"/>
      <c r="D117" s="53"/>
      <c r="E117" s="53"/>
      <c r="F117" s="53"/>
      <c r="G117" s="53"/>
      <c r="K117" s="53"/>
      <c r="L117" s="53"/>
    </row>
    <row r="118" ht="15.75" customHeight="1">
      <c r="A118" s="53"/>
      <c r="B118" s="53"/>
      <c r="C118" s="53"/>
      <c r="D118" s="53"/>
      <c r="E118" s="53"/>
      <c r="F118" s="53"/>
      <c r="G118" s="53"/>
      <c r="K118" s="53"/>
      <c r="L118" s="53"/>
    </row>
    <row r="119" ht="15.75" customHeight="1">
      <c r="A119" s="53"/>
      <c r="B119" s="53"/>
      <c r="C119" s="53"/>
      <c r="D119" s="53"/>
      <c r="E119" s="53"/>
      <c r="F119" s="53"/>
      <c r="G119" s="53"/>
      <c r="K119" s="53"/>
      <c r="L119" s="53"/>
    </row>
    <row r="120" ht="15.75" customHeight="1">
      <c r="A120" s="53"/>
      <c r="B120" s="53"/>
      <c r="C120" s="53"/>
      <c r="D120" s="53"/>
      <c r="E120" s="53"/>
      <c r="F120" s="53"/>
      <c r="G120" s="53"/>
      <c r="K120" s="53"/>
      <c r="L120" s="53"/>
    </row>
    <row r="121" ht="15.75" customHeight="1">
      <c r="A121" s="53"/>
      <c r="B121" s="53"/>
      <c r="C121" s="53"/>
      <c r="D121" s="53"/>
      <c r="E121" s="53"/>
      <c r="F121" s="53"/>
      <c r="G121" s="53"/>
      <c r="K121" s="53"/>
      <c r="L121" s="53"/>
    </row>
    <row r="122" ht="15.75" customHeight="1">
      <c r="A122" s="53"/>
      <c r="B122" s="53"/>
      <c r="C122" s="53"/>
      <c r="D122" s="53"/>
      <c r="E122" s="53"/>
      <c r="F122" s="53"/>
      <c r="G122" s="53"/>
      <c r="K122" s="53"/>
      <c r="L122" s="53"/>
    </row>
    <row r="123" ht="15.75" customHeight="1">
      <c r="A123" s="53"/>
      <c r="B123" s="53"/>
      <c r="C123" s="53"/>
      <c r="D123" s="53"/>
      <c r="E123" s="53"/>
      <c r="F123" s="53"/>
      <c r="G123" s="53"/>
      <c r="K123" s="53"/>
      <c r="L123" s="53"/>
    </row>
    <row r="124" ht="15.75" customHeight="1">
      <c r="A124" s="53"/>
      <c r="B124" s="53"/>
      <c r="C124" s="53"/>
      <c r="D124" s="53"/>
      <c r="E124" s="53"/>
      <c r="F124" s="53"/>
      <c r="G124" s="53"/>
      <c r="K124" s="53"/>
      <c r="L124" s="53"/>
    </row>
    <row r="125" ht="15.75" customHeight="1">
      <c r="A125" s="53"/>
      <c r="B125" s="53"/>
      <c r="C125" s="53"/>
      <c r="D125" s="53"/>
      <c r="E125" s="53"/>
      <c r="F125" s="53"/>
      <c r="G125" s="53"/>
      <c r="K125" s="53"/>
      <c r="L125" s="53"/>
    </row>
    <row r="126" ht="15.75" customHeight="1">
      <c r="A126" s="53"/>
      <c r="B126" s="53"/>
      <c r="C126" s="53"/>
      <c r="D126" s="53"/>
      <c r="E126" s="53"/>
      <c r="F126" s="53"/>
      <c r="G126" s="53"/>
      <c r="K126" s="53"/>
      <c r="L126" s="53"/>
    </row>
    <row r="127" ht="15.75" customHeight="1">
      <c r="A127" s="53"/>
      <c r="B127" s="53"/>
      <c r="C127" s="53"/>
      <c r="D127" s="53"/>
      <c r="E127" s="53"/>
      <c r="F127" s="53"/>
      <c r="G127" s="53"/>
      <c r="K127" s="53"/>
      <c r="L127" s="53"/>
    </row>
    <row r="128" ht="15.75" customHeight="1">
      <c r="A128" s="53"/>
      <c r="B128" s="53"/>
      <c r="C128" s="53"/>
      <c r="D128" s="53"/>
      <c r="E128" s="53"/>
      <c r="F128" s="53"/>
      <c r="G128" s="53"/>
      <c r="K128" s="53"/>
      <c r="L128" s="53"/>
    </row>
    <row r="129" ht="15.75" customHeight="1">
      <c r="A129" s="53"/>
      <c r="B129" s="53"/>
      <c r="C129" s="53"/>
      <c r="D129" s="53"/>
      <c r="E129" s="53"/>
      <c r="F129" s="53"/>
      <c r="G129" s="53"/>
      <c r="K129" s="53"/>
      <c r="L129" s="53"/>
    </row>
    <row r="130" ht="15.75" customHeight="1">
      <c r="A130" s="53"/>
      <c r="B130" s="53"/>
      <c r="C130" s="53"/>
      <c r="D130" s="53"/>
      <c r="E130" s="53"/>
      <c r="F130" s="53"/>
      <c r="G130" s="53"/>
      <c r="K130" s="53"/>
      <c r="L130" s="53"/>
    </row>
    <row r="131" ht="15.75" customHeight="1">
      <c r="A131" s="53"/>
      <c r="B131" s="53"/>
      <c r="C131" s="53"/>
      <c r="D131" s="53"/>
      <c r="E131" s="53"/>
      <c r="F131" s="53"/>
      <c r="G131" s="53"/>
      <c r="K131" s="53"/>
      <c r="L131" s="53"/>
    </row>
    <row r="132" ht="15.75" customHeight="1">
      <c r="A132" s="53"/>
      <c r="B132" s="53"/>
      <c r="C132" s="53"/>
      <c r="D132" s="53"/>
      <c r="E132" s="53"/>
      <c r="F132" s="53"/>
      <c r="G132" s="53"/>
      <c r="K132" s="53"/>
      <c r="L132" s="53"/>
    </row>
    <row r="133" ht="15.75" customHeight="1">
      <c r="A133" s="53"/>
      <c r="B133" s="53"/>
      <c r="C133" s="53"/>
      <c r="D133" s="53"/>
      <c r="E133" s="53"/>
      <c r="F133" s="53"/>
      <c r="G133" s="53"/>
      <c r="K133" s="53"/>
      <c r="L133" s="53"/>
    </row>
    <row r="134" ht="15.75" customHeight="1">
      <c r="A134" s="53"/>
      <c r="B134" s="53"/>
      <c r="C134" s="53"/>
      <c r="D134" s="53"/>
      <c r="E134" s="53"/>
      <c r="F134" s="53"/>
      <c r="G134" s="53"/>
      <c r="K134" s="53"/>
      <c r="L134" s="53"/>
    </row>
    <row r="135" ht="15.75" customHeight="1">
      <c r="A135" s="53"/>
      <c r="B135" s="53"/>
      <c r="C135" s="53"/>
      <c r="D135" s="53"/>
      <c r="E135" s="53"/>
      <c r="F135" s="53"/>
      <c r="G135" s="53"/>
      <c r="K135" s="53"/>
      <c r="L135" s="53"/>
    </row>
    <row r="136" ht="15.75" customHeight="1">
      <c r="A136" s="53"/>
      <c r="B136" s="53"/>
      <c r="C136" s="53"/>
      <c r="D136" s="53"/>
      <c r="E136" s="53"/>
      <c r="F136" s="53"/>
      <c r="G136" s="53"/>
      <c r="K136" s="53"/>
      <c r="L136" s="53"/>
    </row>
    <row r="137" ht="15.75" customHeight="1">
      <c r="A137" s="53"/>
      <c r="B137" s="53"/>
      <c r="C137" s="53"/>
      <c r="D137" s="53"/>
      <c r="E137" s="53"/>
      <c r="F137" s="53"/>
      <c r="G137" s="53"/>
      <c r="K137" s="53"/>
      <c r="L137" s="53"/>
    </row>
    <row r="138" ht="15.75" customHeight="1">
      <c r="A138" s="53"/>
      <c r="B138" s="53"/>
      <c r="C138" s="53"/>
      <c r="D138" s="53"/>
      <c r="E138" s="53"/>
      <c r="F138" s="53"/>
      <c r="G138" s="53"/>
      <c r="K138" s="53"/>
      <c r="L138" s="53"/>
    </row>
    <row r="139" ht="15.75" customHeight="1">
      <c r="A139" s="53"/>
      <c r="B139" s="53"/>
      <c r="C139" s="53"/>
      <c r="D139" s="53"/>
      <c r="E139" s="53"/>
      <c r="F139" s="53"/>
      <c r="G139" s="53"/>
      <c r="K139" s="53"/>
      <c r="L139" s="53"/>
    </row>
    <row r="140" ht="15.75" customHeight="1">
      <c r="A140" s="53"/>
      <c r="B140" s="53"/>
      <c r="C140" s="53"/>
      <c r="D140" s="53"/>
      <c r="E140" s="53"/>
      <c r="F140" s="53"/>
      <c r="G140" s="53"/>
      <c r="K140" s="53"/>
      <c r="L140" s="53"/>
    </row>
    <row r="141" ht="15.75" customHeight="1">
      <c r="A141" s="53"/>
      <c r="B141" s="53"/>
      <c r="C141" s="53"/>
      <c r="D141" s="53"/>
      <c r="E141" s="53"/>
      <c r="F141" s="53"/>
      <c r="G141" s="53"/>
      <c r="K141" s="53"/>
      <c r="L141" s="53"/>
    </row>
    <row r="142" ht="15.75" customHeight="1">
      <c r="A142" s="53"/>
      <c r="B142" s="53"/>
      <c r="C142" s="53"/>
      <c r="D142" s="53"/>
      <c r="E142" s="53"/>
      <c r="F142" s="53"/>
      <c r="G142" s="53"/>
      <c r="K142" s="53"/>
      <c r="L142" s="53"/>
    </row>
    <row r="143" ht="15.75" customHeight="1">
      <c r="A143" s="53"/>
      <c r="B143" s="53"/>
      <c r="C143" s="53"/>
      <c r="D143" s="53"/>
      <c r="E143" s="53"/>
      <c r="F143" s="53"/>
      <c r="G143" s="53"/>
      <c r="K143" s="53"/>
      <c r="L143" s="53"/>
    </row>
    <row r="144" ht="15.75" customHeight="1">
      <c r="A144" s="53"/>
      <c r="B144" s="53"/>
      <c r="C144" s="53"/>
      <c r="D144" s="53"/>
      <c r="E144" s="53"/>
      <c r="F144" s="53"/>
      <c r="G144" s="53"/>
      <c r="K144" s="53"/>
      <c r="L144" s="53"/>
    </row>
    <row r="145" ht="15.75" customHeight="1">
      <c r="A145" s="53"/>
      <c r="B145" s="53"/>
      <c r="C145" s="53"/>
      <c r="D145" s="53"/>
      <c r="E145" s="53"/>
      <c r="F145" s="53"/>
      <c r="G145" s="53"/>
      <c r="K145" s="53"/>
      <c r="L145" s="53"/>
    </row>
    <row r="146" ht="15.75" customHeight="1">
      <c r="A146" s="53"/>
      <c r="B146" s="53"/>
      <c r="C146" s="53"/>
      <c r="D146" s="53"/>
      <c r="E146" s="53"/>
      <c r="F146" s="53"/>
      <c r="G146" s="53"/>
      <c r="K146" s="53"/>
      <c r="L146" s="53"/>
    </row>
    <row r="147" ht="15.75" customHeight="1">
      <c r="A147" s="53"/>
      <c r="B147" s="53"/>
      <c r="C147" s="53"/>
      <c r="D147" s="53"/>
      <c r="E147" s="53"/>
      <c r="F147" s="53"/>
      <c r="G147" s="53"/>
      <c r="K147" s="53"/>
      <c r="L147" s="53"/>
    </row>
    <row r="148" ht="15.75" customHeight="1">
      <c r="A148" s="53"/>
      <c r="B148" s="53"/>
      <c r="C148" s="53"/>
      <c r="D148" s="53"/>
      <c r="E148" s="53"/>
      <c r="F148" s="53"/>
      <c r="G148" s="53"/>
      <c r="K148" s="53"/>
      <c r="L148" s="53"/>
    </row>
    <row r="149" ht="15.75" customHeight="1">
      <c r="A149" s="53"/>
      <c r="B149" s="53"/>
      <c r="C149" s="53"/>
      <c r="D149" s="53"/>
      <c r="E149" s="53"/>
      <c r="F149" s="53"/>
      <c r="G149" s="53"/>
      <c r="K149" s="53"/>
      <c r="L149" s="53"/>
    </row>
    <row r="150" ht="15.75" customHeight="1">
      <c r="A150" s="53"/>
      <c r="B150" s="53"/>
      <c r="C150" s="53"/>
      <c r="D150" s="53"/>
      <c r="E150" s="53"/>
      <c r="F150" s="53"/>
      <c r="G150" s="53"/>
      <c r="K150" s="53"/>
      <c r="L150" s="53"/>
    </row>
    <row r="151" ht="15.75" customHeight="1">
      <c r="A151" s="53"/>
      <c r="B151" s="53"/>
      <c r="C151" s="53"/>
      <c r="D151" s="53"/>
      <c r="E151" s="53"/>
      <c r="F151" s="53"/>
      <c r="G151" s="53"/>
      <c r="K151" s="53"/>
      <c r="L151" s="53"/>
    </row>
    <row r="152" ht="15.75" customHeight="1">
      <c r="A152" s="53"/>
      <c r="B152" s="53"/>
      <c r="C152" s="53"/>
      <c r="D152" s="53"/>
      <c r="E152" s="53"/>
      <c r="F152" s="53"/>
      <c r="G152" s="53"/>
      <c r="K152" s="53"/>
      <c r="L152" s="53"/>
    </row>
    <row r="153" ht="15.75" customHeight="1">
      <c r="A153" s="53"/>
      <c r="B153" s="53"/>
      <c r="C153" s="53"/>
      <c r="D153" s="53"/>
      <c r="E153" s="53"/>
      <c r="F153" s="53"/>
      <c r="G153" s="53"/>
      <c r="K153" s="53"/>
      <c r="L153" s="53"/>
    </row>
    <row r="154" ht="15.75" customHeight="1">
      <c r="A154" s="53"/>
      <c r="B154" s="53"/>
      <c r="C154" s="53"/>
      <c r="D154" s="53"/>
      <c r="E154" s="53"/>
      <c r="F154" s="53"/>
      <c r="G154" s="53"/>
      <c r="K154" s="53"/>
      <c r="L154" s="53"/>
    </row>
    <row r="155" ht="15.75" customHeight="1">
      <c r="A155" s="53"/>
      <c r="B155" s="53"/>
      <c r="C155" s="53"/>
      <c r="D155" s="53"/>
      <c r="E155" s="53"/>
      <c r="F155" s="53"/>
      <c r="G155" s="53"/>
      <c r="K155" s="53"/>
      <c r="L155" s="53"/>
    </row>
    <row r="156" ht="15.75" customHeight="1">
      <c r="A156" s="53"/>
      <c r="B156" s="53"/>
      <c r="C156" s="53"/>
      <c r="D156" s="53"/>
      <c r="E156" s="53"/>
      <c r="F156" s="53"/>
      <c r="G156" s="53"/>
      <c r="K156" s="53"/>
      <c r="L156" s="53"/>
    </row>
    <row r="157" ht="15.75" customHeight="1">
      <c r="A157" s="53"/>
      <c r="B157" s="53"/>
      <c r="C157" s="53"/>
      <c r="D157" s="53"/>
      <c r="E157" s="53"/>
      <c r="F157" s="53"/>
      <c r="G157" s="53"/>
      <c r="K157" s="53"/>
      <c r="L157" s="53"/>
    </row>
    <row r="158" ht="15.75" customHeight="1">
      <c r="A158" s="53"/>
      <c r="B158" s="53"/>
      <c r="C158" s="53"/>
      <c r="D158" s="53"/>
      <c r="E158" s="53"/>
      <c r="F158" s="53"/>
      <c r="G158" s="53"/>
      <c r="K158" s="53"/>
      <c r="L158" s="53"/>
    </row>
    <row r="159" ht="15.75" customHeight="1">
      <c r="A159" s="53"/>
      <c r="B159" s="53"/>
      <c r="C159" s="53"/>
      <c r="D159" s="53"/>
      <c r="E159" s="53"/>
      <c r="F159" s="53"/>
      <c r="G159" s="53"/>
      <c r="K159" s="53"/>
      <c r="L159" s="53"/>
    </row>
    <row r="160" ht="15.75" customHeight="1">
      <c r="A160" s="53"/>
      <c r="B160" s="53"/>
      <c r="C160" s="53"/>
      <c r="D160" s="53"/>
      <c r="E160" s="53"/>
      <c r="F160" s="53"/>
      <c r="G160" s="53"/>
      <c r="K160" s="53"/>
      <c r="L160" s="53"/>
    </row>
    <row r="161" ht="15.75" customHeight="1">
      <c r="A161" s="53"/>
      <c r="B161" s="53"/>
      <c r="C161" s="53"/>
      <c r="D161" s="53"/>
      <c r="E161" s="53"/>
      <c r="F161" s="53"/>
      <c r="G161" s="53"/>
      <c r="K161" s="53"/>
      <c r="L161" s="53"/>
    </row>
    <row r="162" ht="15.75" customHeight="1">
      <c r="A162" s="53"/>
      <c r="B162" s="53"/>
      <c r="C162" s="53"/>
      <c r="D162" s="53"/>
      <c r="E162" s="53"/>
      <c r="F162" s="53"/>
      <c r="G162" s="53"/>
      <c r="K162" s="53"/>
      <c r="L162" s="53"/>
    </row>
    <row r="163" ht="15.75" customHeight="1">
      <c r="A163" s="53"/>
      <c r="B163" s="53"/>
      <c r="C163" s="53"/>
      <c r="D163" s="53"/>
      <c r="E163" s="53"/>
      <c r="F163" s="53"/>
      <c r="G163" s="53"/>
      <c r="K163" s="53"/>
      <c r="L163" s="53"/>
    </row>
    <row r="164" ht="15.75" customHeight="1">
      <c r="A164" s="53"/>
      <c r="B164" s="53"/>
      <c r="C164" s="53"/>
      <c r="D164" s="53"/>
      <c r="E164" s="53"/>
      <c r="F164" s="53"/>
      <c r="G164" s="53"/>
      <c r="K164" s="53"/>
      <c r="L164" s="53"/>
    </row>
    <row r="165" ht="15.75" customHeight="1">
      <c r="A165" s="53"/>
      <c r="B165" s="53"/>
      <c r="C165" s="53"/>
      <c r="D165" s="53"/>
      <c r="E165" s="53"/>
      <c r="F165" s="53"/>
      <c r="G165" s="53"/>
      <c r="K165" s="53"/>
      <c r="L165" s="53"/>
    </row>
    <row r="166" ht="15.75" customHeight="1">
      <c r="A166" s="53"/>
      <c r="B166" s="53"/>
      <c r="C166" s="53"/>
      <c r="D166" s="53"/>
      <c r="E166" s="53"/>
      <c r="F166" s="53"/>
      <c r="G166" s="53"/>
      <c r="K166" s="53"/>
      <c r="L166" s="53"/>
    </row>
    <row r="167" ht="15.75" customHeight="1">
      <c r="A167" s="53"/>
      <c r="B167" s="53"/>
      <c r="C167" s="53"/>
      <c r="D167" s="53"/>
      <c r="E167" s="53"/>
      <c r="F167" s="53"/>
      <c r="G167" s="53"/>
      <c r="K167" s="53"/>
      <c r="L167" s="53"/>
    </row>
    <row r="168" ht="15.75" customHeight="1">
      <c r="A168" s="53"/>
      <c r="B168" s="53"/>
      <c r="C168" s="53"/>
      <c r="D168" s="53"/>
      <c r="E168" s="53"/>
      <c r="F168" s="53"/>
      <c r="G168" s="53"/>
      <c r="K168" s="53"/>
      <c r="L168" s="53"/>
    </row>
    <row r="169" ht="15.75" customHeight="1">
      <c r="A169" s="53"/>
      <c r="B169" s="53"/>
      <c r="C169" s="53"/>
      <c r="D169" s="53"/>
      <c r="E169" s="53"/>
      <c r="F169" s="53"/>
      <c r="G169" s="53"/>
      <c r="K169" s="53"/>
      <c r="L169" s="53"/>
    </row>
    <row r="170" ht="15.75" customHeight="1">
      <c r="A170" s="53"/>
      <c r="B170" s="53"/>
      <c r="C170" s="53"/>
      <c r="D170" s="53"/>
      <c r="E170" s="53"/>
      <c r="F170" s="53"/>
      <c r="G170" s="53"/>
      <c r="K170" s="53"/>
      <c r="L170" s="53"/>
    </row>
    <row r="171" ht="15.75" customHeight="1">
      <c r="A171" s="53"/>
      <c r="B171" s="53"/>
      <c r="C171" s="53"/>
      <c r="D171" s="53"/>
      <c r="E171" s="53"/>
      <c r="F171" s="53"/>
      <c r="G171" s="53"/>
      <c r="K171" s="53"/>
      <c r="L171" s="53"/>
    </row>
    <row r="172" ht="15.75" customHeight="1">
      <c r="A172" s="53"/>
      <c r="B172" s="53"/>
      <c r="C172" s="53"/>
      <c r="D172" s="53"/>
      <c r="E172" s="53"/>
      <c r="F172" s="53"/>
      <c r="G172" s="53"/>
      <c r="K172" s="53"/>
      <c r="L172" s="53"/>
    </row>
    <row r="173" ht="15.75" customHeight="1">
      <c r="A173" s="53"/>
      <c r="B173" s="53"/>
      <c r="C173" s="53"/>
      <c r="D173" s="53"/>
      <c r="E173" s="53"/>
      <c r="F173" s="53"/>
      <c r="G173" s="53"/>
      <c r="K173" s="53"/>
      <c r="L173" s="53"/>
    </row>
    <row r="174" ht="15.75" customHeight="1">
      <c r="A174" s="53"/>
      <c r="B174" s="53"/>
      <c r="C174" s="53"/>
      <c r="D174" s="53"/>
      <c r="E174" s="53"/>
      <c r="F174" s="53"/>
      <c r="G174" s="53"/>
      <c r="K174" s="53"/>
      <c r="L174" s="53"/>
    </row>
    <row r="175" ht="15.75" customHeight="1">
      <c r="A175" s="53"/>
      <c r="B175" s="53"/>
      <c r="C175" s="53"/>
      <c r="D175" s="53"/>
      <c r="E175" s="53"/>
      <c r="F175" s="53"/>
      <c r="G175" s="53"/>
      <c r="K175" s="53"/>
      <c r="L175" s="53"/>
    </row>
    <row r="176" ht="15.75" customHeight="1">
      <c r="A176" s="53"/>
      <c r="B176" s="53"/>
      <c r="C176" s="53"/>
      <c r="D176" s="53"/>
      <c r="E176" s="53"/>
      <c r="F176" s="53"/>
      <c r="G176" s="53"/>
      <c r="K176" s="53"/>
      <c r="L176" s="53"/>
    </row>
    <row r="177" ht="15.75" customHeight="1">
      <c r="A177" s="53"/>
      <c r="B177" s="53"/>
      <c r="C177" s="53"/>
      <c r="D177" s="53"/>
      <c r="E177" s="53"/>
      <c r="F177" s="53"/>
      <c r="G177" s="53"/>
      <c r="K177" s="53"/>
      <c r="L177" s="53"/>
    </row>
    <row r="178" ht="15.75" customHeight="1">
      <c r="A178" s="53"/>
      <c r="B178" s="53"/>
      <c r="C178" s="53"/>
      <c r="D178" s="53"/>
      <c r="E178" s="53"/>
      <c r="F178" s="53"/>
      <c r="G178" s="53"/>
      <c r="K178" s="53"/>
      <c r="L178" s="53"/>
    </row>
    <row r="179" ht="15.75" customHeight="1">
      <c r="A179" s="53"/>
      <c r="B179" s="53"/>
      <c r="C179" s="53"/>
      <c r="D179" s="53"/>
      <c r="E179" s="53"/>
      <c r="F179" s="53"/>
      <c r="G179" s="53"/>
      <c r="K179" s="53"/>
      <c r="L179" s="53"/>
    </row>
    <row r="180" ht="15.75" customHeight="1">
      <c r="A180" s="53"/>
      <c r="B180" s="53"/>
      <c r="C180" s="53"/>
      <c r="D180" s="53"/>
      <c r="E180" s="53"/>
      <c r="F180" s="53"/>
      <c r="G180" s="53"/>
      <c r="K180" s="53"/>
      <c r="L180" s="53"/>
    </row>
    <row r="181" ht="15.75" customHeight="1">
      <c r="A181" s="53"/>
      <c r="B181" s="53"/>
      <c r="C181" s="53"/>
      <c r="D181" s="53"/>
      <c r="E181" s="53"/>
      <c r="F181" s="53"/>
      <c r="G181" s="53"/>
      <c r="K181" s="53"/>
      <c r="L181" s="53"/>
    </row>
    <row r="182" ht="15.75" customHeight="1">
      <c r="A182" s="53"/>
      <c r="B182" s="53"/>
      <c r="C182" s="53"/>
      <c r="D182" s="53"/>
      <c r="E182" s="53"/>
      <c r="F182" s="53"/>
      <c r="G182" s="53"/>
      <c r="K182" s="53"/>
      <c r="L182" s="53"/>
    </row>
    <row r="183" ht="15.75" customHeight="1">
      <c r="A183" s="53"/>
      <c r="B183" s="53"/>
      <c r="C183" s="53"/>
      <c r="D183" s="53"/>
      <c r="E183" s="53"/>
      <c r="F183" s="53"/>
      <c r="G183" s="53"/>
      <c r="K183" s="53"/>
      <c r="L183" s="53"/>
    </row>
    <row r="184" ht="15.75" customHeight="1">
      <c r="A184" s="53"/>
      <c r="B184" s="53"/>
      <c r="C184" s="53"/>
      <c r="D184" s="53"/>
      <c r="E184" s="53"/>
      <c r="F184" s="53"/>
      <c r="G184" s="53"/>
      <c r="K184" s="53"/>
      <c r="L184" s="53"/>
    </row>
    <row r="185" ht="15.75" customHeight="1">
      <c r="A185" s="53"/>
      <c r="B185" s="53"/>
      <c r="C185" s="53"/>
      <c r="D185" s="53"/>
      <c r="E185" s="53"/>
      <c r="F185" s="53"/>
      <c r="G185" s="53"/>
      <c r="K185" s="53"/>
      <c r="L185" s="53"/>
    </row>
    <row r="186" ht="15.75" customHeight="1">
      <c r="A186" s="53"/>
      <c r="B186" s="53"/>
      <c r="C186" s="53"/>
      <c r="D186" s="53"/>
      <c r="E186" s="53"/>
      <c r="F186" s="53"/>
      <c r="G186" s="53"/>
      <c r="K186" s="53"/>
      <c r="L186" s="53"/>
    </row>
    <row r="187" ht="15.75" customHeight="1">
      <c r="A187" s="53"/>
      <c r="B187" s="53"/>
      <c r="C187" s="53"/>
      <c r="D187" s="53"/>
      <c r="E187" s="53"/>
      <c r="F187" s="53"/>
      <c r="G187" s="53"/>
      <c r="K187" s="53"/>
      <c r="L187" s="53"/>
    </row>
    <row r="188" ht="15.75" customHeight="1">
      <c r="A188" s="53"/>
      <c r="B188" s="53"/>
      <c r="C188" s="53"/>
      <c r="D188" s="53"/>
      <c r="E188" s="53"/>
      <c r="F188" s="53"/>
      <c r="G188" s="53"/>
      <c r="K188" s="53"/>
      <c r="L188" s="53"/>
    </row>
    <row r="189" ht="15.75" customHeight="1">
      <c r="A189" s="53"/>
      <c r="B189" s="53"/>
      <c r="C189" s="53"/>
      <c r="D189" s="53"/>
      <c r="E189" s="53"/>
      <c r="F189" s="53"/>
      <c r="G189" s="53"/>
      <c r="K189" s="53"/>
      <c r="L189" s="53"/>
    </row>
    <row r="190" ht="15.75" customHeight="1">
      <c r="A190" s="53"/>
      <c r="B190" s="53"/>
      <c r="C190" s="53"/>
      <c r="D190" s="53"/>
      <c r="E190" s="53"/>
      <c r="F190" s="53"/>
      <c r="G190" s="53"/>
      <c r="K190" s="53"/>
      <c r="L190" s="53"/>
    </row>
    <row r="191" ht="15.75" customHeight="1">
      <c r="A191" s="53"/>
      <c r="B191" s="53"/>
      <c r="C191" s="53"/>
      <c r="D191" s="53"/>
      <c r="E191" s="53"/>
      <c r="F191" s="53"/>
      <c r="G191" s="53"/>
      <c r="K191" s="53"/>
      <c r="L191" s="53"/>
    </row>
    <row r="192" ht="15.75" customHeight="1">
      <c r="A192" s="53"/>
      <c r="B192" s="53"/>
      <c r="C192" s="53"/>
      <c r="D192" s="53"/>
      <c r="E192" s="53"/>
      <c r="F192" s="53"/>
      <c r="G192" s="53"/>
      <c r="K192" s="53"/>
      <c r="L192" s="53"/>
    </row>
    <row r="193" ht="15.75" customHeight="1">
      <c r="A193" s="53"/>
      <c r="B193" s="53"/>
      <c r="C193" s="53"/>
      <c r="D193" s="53"/>
      <c r="E193" s="53"/>
      <c r="F193" s="53"/>
      <c r="G193" s="53"/>
      <c r="K193" s="53"/>
      <c r="L193" s="53"/>
    </row>
    <row r="194" ht="15.75" customHeight="1">
      <c r="A194" s="53"/>
      <c r="B194" s="53"/>
      <c r="C194" s="53"/>
      <c r="D194" s="53"/>
      <c r="E194" s="53"/>
      <c r="F194" s="53"/>
      <c r="G194" s="53"/>
      <c r="K194" s="53"/>
      <c r="L194" s="53"/>
    </row>
    <row r="195" ht="15.75" customHeight="1">
      <c r="A195" s="53"/>
      <c r="B195" s="53"/>
      <c r="C195" s="53"/>
      <c r="D195" s="53"/>
      <c r="E195" s="53"/>
      <c r="F195" s="53"/>
      <c r="G195" s="53"/>
      <c r="K195" s="53"/>
      <c r="L195" s="53"/>
    </row>
    <row r="196" ht="15.75" customHeight="1">
      <c r="A196" s="53"/>
      <c r="B196" s="53"/>
      <c r="C196" s="53"/>
      <c r="D196" s="53"/>
      <c r="E196" s="53"/>
      <c r="F196" s="53"/>
      <c r="G196" s="53"/>
      <c r="K196" s="53"/>
      <c r="L196" s="53"/>
    </row>
    <row r="197" ht="15.75" customHeight="1">
      <c r="A197" s="53"/>
      <c r="B197" s="53"/>
      <c r="C197" s="53"/>
      <c r="D197" s="53"/>
      <c r="E197" s="53"/>
      <c r="F197" s="53"/>
      <c r="G197" s="53"/>
      <c r="K197" s="53"/>
      <c r="L197" s="53"/>
    </row>
    <row r="198" ht="15.75" customHeight="1">
      <c r="A198" s="53"/>
      <c r="B198" s="53"/>
      <c r="C198" s="53"/>
      <c r="D198" s="53"/>
      <c r="E198" s="53"/>
      <c r="F198" s="53"/>
      <c r="G198" s="53"/>
      <c r="K198" s="53"/>
      <c r="L198" s="53"/>
    </row>
    <row r="199" ht="15.75" customHeight="1">
      <c r="A199" s="53"/>
      <c r="B199" s="53"/>
      <c r="C199" s="53"/>
      <c r="D199" s="53"/>
      <c r="E199" s="53"/>
      <c r="F199" s="53"/>
      <c r="G199" s="53"/>
      <c r="K199" s="53"/>
      <c r="L199" s="53"/>
    </row>
    <row r="200" ht="15.75" customHeight="1">
      <c r="A200" s="53"/>
      <c r="B200" s="53"/>
      <c r="C200" s="53"/>
      <c r="D200" s="53"/>
      <c r="E200" s="53"/>
      <c r="F200" s="53"/>
      <c r="G200" s="53"/>
      <c r="K200" s="53"/>
      <c r="L200" s="53"/>
    </row>
    <row r="201" ht="15.75" customHeight="1">
      <c r="A201" s="53"/>
      <c r="B201" s="53"/>
      <c r="C201" s="53"/>
      <c r="D201" s="53"/>
      <c r="E201" s="53"/>
      <c r="F201" s="53"/>
      <c r="G201" s="53"/>
      <c r="K201" s="53"/>
      <c r="L201" s="53"/>
    </row>
    <row r="202" ht="15.75" customHeight="1">
      <c r="A202" s="53"/>
      <c r="B202" s="53"/>
      <c r="C202" s="53"/>
      <c r="D202" s="53"/>
      <c r="E202" s="53"/>
      <c r="F202" s="53"/>
      <c r="G202" s="53"/>
      <c r="K202" s="53"/>
      <c r="L202" s="53"/>
    </row>
    <row r="203" ht="15.75" customHeight="1">
      <c r="A203" s="53"/>
      <c r="B203" s="53"/>
      <c r="C203" s="53"/>
      <c r="D203" s="53"/>
      <c r="E203" s="53"/>
      <c r="F203" s="53"/>
      <c r="G203" s="53"/>
      <c r="K203" s="53"/>
      <c r="L203" s="53"/>
    </row>
    <row r="204" ht="15.75" customHeight="1">
      <c r="A204" s="53"/>
      <c r="B204" s="53"/>
      <c r="C204" s="53"/>
      <c r="D204" s="53"/>
      <c r="E204" s="53"/>
      <c r="F204" s="53"/>
      <c r="G204" s="53"/>
      <c r="K204" s="53"/>
      <c r="L204" s="53"/>
    </row>
    <row r="205" ht="15.75" customHeight="1">
      <c r="A205" s="53"/>
      <c r="B205" s="53"/>
      <c r="C205" s="53"/>
      <c r="D205" s="53"/>
      <c r="E205" s="53"/>
      <c r="F205" s="53"/>
      <c r="G205" s="53"/>
      <c r="K205" s="53"/>
      <c r="L205" s="53"/>
    </row>
    <row r="206" ht="15.75" customHeight="1">
      <c r="A206" s="53"/>
      <c r="B206" s="53"/>
      <c r="C206" s="53"/>
      <c r="D206" s="53"/>
      <c r="E206" s="53"/>
      <c r="F206" s="53"/>
      <c r="G206" s="53"/>
      <c r="K206" s="53"/>
      <c r="L206" s="53"/>
    </row>
    <row r="207" ht="15.75" customHeight="1">
      <c r="A207" s="53"/>
      <c r="B207" s="53"/>
      <c r="C207" s="53"/>
      <c r="D207" s="53"/>
      <c r="E207" s="53"/>
      <c r="F207" s="53"/>
      <c r="G207" s="53"/>
      <c r="K207" s="53"/>
      <c r="L207" s="53"/>
    </row>
    <row r="208" ht="15.75" customHeight="1">
      <c r="A208" s="53"/>
      <c r="B208" s="53"/>
      <c r="C208" s="53"/>
      <c r="D208" s="53"/>
      <c r="E208" s="53"/>
      <c r="F208" s="53"/>
      <c r="G208" s="53"/>
      <c r="K208" s="53"/>
      <c r="L208" s="53"/>
    </row>
    <row r="209" ht="15.75" customHeight="1">
      <c r="A209" s="53"/>
      <c r="B209" s="53"/>
      <c r="C209" s="53"/>
      <c r="D209" s="53"/>
      <c r="E209" s="53"/>
      <c r="F209" s="53"/>
      <c r="G209" s="53"/>
      <c r="K209" s="53"/>
      <c r="L209" s="53"/>
    </row>
    <row r="210" ht="15.75" customHeight="1">
      <c r="A210" s="53"/>
      <c r="B210" s="53"/>
      <c r="C210" s="53"/>
      <c r="D210" s="53"/>
      <c r="E210" s="53"/>
      <c r="F210" s="53"/>
      <c r="G210" s="53"/>
      <c r="K210" s="53"/>
      <c r="L210" s="53"/>
    </row>
    <row r="211" ht="15.75" customHeight="1">
      <c r="A211" s="53"/>
      <c r="B211" s="53"/>
      <c r="C211" s="53"/>
      <c r="D211" s="53"/>
      <c r="E211" s="53"/>
      <c r="F211" s="53"/>
      <c r="G211" s="53"/>
      <c r="K211" s="53"/>
      <c r="L211" s="53"/>
    </row>
    <row r="212" ht="15.75" customHeight="1">
      <c r="A212" s="53"/>
      <c r="B212" s="53"/>
      <c r="C212" s="53"/>
      <c r="D212" s="53"/>
      <c r="E212" s="53"/>
      <c r="F212" s="53"/>
      <c r="G212" s="53"/>
      <c r="K212" s="53"/>
      <c r="L212" s="53"/>
    </row>
    <row r="213" ht="15.75" customHeight="1">
      <c r="A213" s="53"/>
      <c r="B213" s="53"/>
      <c r="C213" s="53"/>
      <c r="D213" s="53"/>
      <c r="E213" s="53"/>
      <c r="F213" s="53"/>
      <c r="G213" s="53"/>
      <c r="K213" s="53"/>
      <c r="L213" s="53"/>
    </row>
    <row r="214" ht="15.75" customHeight="1">
      <c r="A214" s="53"/>
      <c r="B214" s="53"/>
      <c r="C214" s="53"/>
      <c r="D214" s="53"/>
      <c r="E214" s="53"/>
      <c r="F214" s="53"/>
      <c r="G214" s="53"/>
      <c r="K214" s="53"/>
      <c r="L214" s="53"/>
    </row>
    <row r="215" ht="15.75" customHeight="1">
      <c r="A215" s="53"/>
      <c r="B215" s="53"/>
      <c r="C215" s="53"/>
      <c r="D215" s="53"/>
      <c r="E215" s="53"/>
      <c r="F215" s="53"/>
      <c r="G215" s="53"/>
      <c r="K215" s="53"/>
      <c r="L215" s="53"/>
    </row>
    <row r="216" ht="15.75" customHeight="1">
      <c r="A216" s="53"/>
      <c r="B216" s="53"/>
      <c r="C216" s="53"/>
      <c r="D216" s="53"/>
      <c r="E216" s="53"/>
      <c r="F216" s="53"/>
      <c r="G216" s="53"/>
      <c r="K216" s="53"/>
      <c r="L216" s="53"/>
    </row>
    <row r="217" ht="15.75" customHeight="1">
      <c r="A217" s="53"/>
      <c r="B217" s="53"/>
      <c r="C217" s="53"/>
      <c r="D217" s="53"/>
      <c r="E217" s="53"/>
      <c r="F217" s="53"/>
      <c r="G217" s="53"/>
      <c r="K217" s="53"/>
      <c r="L217" s="53"/>
    </row>
    <row r="218" ht="15.75" customHeight="1">
      <c r="A218" s="53"/>
      <c r="B218" s="53"/>
      <c r="C218" s="53"/>
      <c r="D218" s="53"/>
      <c r="E218" s="53"/>
      <c r="F218" s="53"/>
      <c r="G218" s="53"/>
      <c r="K218" s="53"/>
      <c r="L218" s="53"/>
    </row>
    <row r="219" ht="15.75" customHeight="1">
      <c r="A219" s="53"/>
      <c r="B219" s="53"/>
      <c r="C219" s="53"/>
      <c r="D219" s="53"/>
      <c r="E219" s="53"/>
      <c r="F219" s="53"/>
      <c r="G219" s="53"/>
      <c r="K219" s="53"/>
      <c r="L219" s="53"/>
    </row>
    <row r="220" ht="15.75" customHeight="1">
      <c r="A220" s="53"/>
      <c r="B220" s="53"/>
      <c r="C220" s="53"/>
      <c r="D220" s="53"/>
      <c r="E220" s="53"/>
      <c r="F220" s="53"/>
      <c r="G220" s="53"/>
      <c r="K220" s="53"/>
      <c r="L220" s="53"/>
    </row>
    <row r="221" ht="15.75" customHeight="1">
      <c r="A221" s="53"/>
      <c r="B221" s="53"/>
      <c r="C221" s="53"/>
      <c r="D221" s="53"/>
      <c r="E221" s="53"/>
      <c r="F221" s="53"/>
      <c r="G221" s="53"/>
      <c r="K221" s="53"/>
      <c r="L221" s="5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1">
    <mergeCell ref="E5:F5"/>
    <mergeCell ref="G5:I5"/>
    <mergeCell ref="A2:C2"/>
    <mergeCell ref="E2:I2"/>
    <mergeCell ref="A3:B3"/>
    <mergeCell ref="E3:F3"/>
    <mergeCell ref="A4:B4"/>
    <mergeCell ref="E4:F4"/>
    <mergeCell ref="A5:B5"/>
    <mergeCell ref="E9:F9"/>
    <mergeCell ref="E10:F10"/>
    <mergeCell ref="E13:H13"/>
    <mergeCell ref="A11:B11"/>
    <mergeCell ref="E11:F11"/>
    <mergeCell ref="A6:B6"/>
    <mergeCell ref="E6:F6"/>
    <mergeCell ref="A7:C8"/>
    <mergeCell ref="E7:F7"/>
    <mergeCell ref="E8:F8"/>
    <mergeCell ref="A9:B9"/>
    <mergeCell ref="A10:B1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5" width="14.43"/>
    <col customWidth="1" min="6" max="6" width="8.0"/>
  </cols>
  <sheetData>
    <row r="1">
      <c r="A1" s="6" t="s">
        <v>135</v>
      </c>
      <c r="B1" s="6" t="s">
        <v>136</v>
      </c>
      <c r="D1" s="13" t="s">
        <v>137</v>
      </c>
      <c r="E1" s="14"/>
      <c r="F1" s="11"/>
    </row>
    <row r="2">
      <c r="A2" s="6">
        <v>0.0</v>
      </c>
      <c r="B2" s="6">
        <v>25.0</v>
      </c>
      <c r="D2" s="6" t="s">
        <v>138</v>
      </c>
      <c r="E2" s="6">
        <f>60.2+12.5</f>
        <v>72.7</v>
      </c>
      <c r="F2" s="53"/>
    </row>
    <row r="3">
      <c r="A3" s="6">
        <v>10000.0</v>
      </c>
      <c r="B3" s="6">
        <v>28.0</v>
      </c>
      <c r="D3" s="6" t="s">
        <v>139</v>
      </c>
      <c r="E3" s="6">
        <v>28.65</v>
      </c>
      <c r="F3" s="53"/>
    </row>
    <row r="4">
      <c r="A4" s="6">
        <v>15000.0</v>
      </c>
      <c r="B4" s="6">
        <v>31.0</v>
      </c>
      <c r="D4" s="6" t="s">
        <v>27</v>
      </c>
      <c r="E4" s="6">
        <v>14.15</v>
      </c>
      <c r="F4" s="53"/>
    </row>
    <row r="5">
      <c r="A5" s="6">
        <v>20000.0</v>
      </c>
      <c r="B5" s="6">
        <v>35.0</v>
      </c>
      <c r="D5" s="6" t="s">
        <v>21</v>
      </c>
      <c r="E5" s="32">
        <v>18.15</v>
      </c>
      <c r="F5" s="53"/>
    </row>
    <row r="6">
      <c r="A6" s="6">
        <v>24000.0</v>
      </c>
      <c r="B6" s="6">
        <v>38.0</v>
      </c>
      <c r="D6" s="6" t="s">
        <v>140</v>
      </c>
      <c r="E6" s="6">
        <v>35.0</v>
      </c>
      <c r="F6" s="53"/>
    </row>
    <row r="7">
      <c r="A7" s="6">
        <v>27000.0</v>
      </c>
      <c r="B7" s="6">
        <v>45.0</v>
      </c>
      <c r="D7" s="6" t="s">
        <v>141</v>
      </c>
      <c r="E7" s="6">
        <v>11.35</v>
      </c>
      <c r="F7" s="53"/>
    </row>
    <row r="8">
      <c r="D8" s="6" t="s">
        <v>142</v>
      </c>
      <c r="E8" s="6">
        <v>22.3</v>
      </c>
      <c r="F8" s="53"/>
    </row>
    <row r="9">
      <c r="D9" s="6" t="s">
        <v>38</v>
      </c>
      <c r="E9" s="6">
        <v>8.7</v>
      </c>
      <c r="F9" s="53"/>
    </row>
    <row r="10">
      <c r="D10" s="32" t="s">
        <v>29</v>
      </c>
      <c r="E10" s="32">
        <v>0.0</v>
      </c>
      <c r="F10" s="53"/>
    </row>
    <row r="11">
      <c r="D11" s="126" t="s">
        <v>143</v>
      </c>
      <c r="E11" s="14"/>
      <c r="F11" s="53"/>
    </row>
    <row r="12">
      <c r="D12" s="11"/>
      <c r="E12" s="11"/>
      <c r="F12" s="53"/>
    </row>
    <row r="13">
      <c r="F13" s="53"/>
    </row>
    <row r="14">
      <c r="F14" s="53"/>
    </row>
    <row r="15">
      <c r="F15" s="53"/>
    </row>
    <row r="16">
      <c r="F16" s="53"/>
    </row>
    <row r="17">
      <c r="F17" s="53"/>
    </row>
    <row r="18">
      <c r="F18" s="53"/>
    </row>
    <row r="19">
      <c r="F19" s="53"/>
    </row>
    <row r="20">
      <c r="F20" s="53"/>
    </row>
    <row r="21">
      <c r="F21" s="53"/>
    </row>
    <row r="22" ht="15.75" customHeight="1">
      <c r="F22" s="53"/>
    </row>
    <row r="23" ht="15.75" customHeight="1">
      <c r="F23" s="53"/>
    </row>
    <row r="24" ht="15.75" customHeight="1">
      <c r="F24" s="53"/>
    </row>
    <row r="25" ht="15.75" customHeight="1">
      <c r="F25" s="53"/>
    </row>
    <row r="26" ht="15.75" customHeight="1">
      <c r="F26" s="53"/>
    </row>
    <row r="27" ht="15.75" customHeight="1">
      <c r="F27" s="53"/>
    </row>
    <row r="28" ht="15.75" customHeight="1">
      <c r="F28" s="53"/>
    </row>
    <row r="29" ht="15.75" customHeight="1">
      <c r="F29" s="53"/>
    </row>
    <row r="30" ht="15.75" customHeight="1">
      <c r="F30" s="53"/>
    </row>
    <row r="31" ht="15.75" customHeight="1">
      <c r="F31" s="53"/>
    </row>
    <row r="32" ht="15.75" customHeight="1">
      <c r="F32" s="53"/>
    </row>
    <row r="33" ht="15.75" customHeight="1">
      <c r="F33" s="53"/>
    </row>
    <row r="34" ht="15.75" customHeight="1">
      <c r="F34" s="53"/>
    </row>
    <row r="35" ht="15.75" customHeight="1">
      <c r="F35" s="53"/>
    </row>
    <row r="36" ht="15.75" customHeight="1">
      <c r="F36" s="53"/>
    </row>
    <row r="37" ht="15.75" customHeight="1">
      <c r="F37" s="53"/>
    </row>
    <row r="38" ht="15.75" customHeight="1">
      <c r="F38" s="53"/>
    </row>
    <row r="39" ht="15.75" customHeight="1">
      <c r="F39" s="53"/>
    </row>
    <row r="40" ht="15.75" customHeight="1">
      <c r="F40" s="53"/>
    </row>
    <row r="41" ht="15.75" customHeight="1">
      <c r="F41" s="53"/>
    </row>
    <row r="42" ht="15.75" customHeight="1">
      <c r="F42" s="53"/>
    </row>
    <row r="43" ht="15.75" customHeight="1">
      <c r="F43" s="53"/>
    </row>
    <row r="44" ht="15.75" customHeight="1">
      <c r="F44" s="53"/>
    </row>
    <row r="45" ht="15.75" customHeight="1">
      <c r="F45" s="53"/>
    </row>
    <row r="46" ht="15.75" customHeight="1">
      <c r="F46" s="53"/>
    </row>
    <row r="47" ht="15.75" customHeight="1">
      <c r="F47" s="53"/>
    </row>
    <row r="48" ht="15.75" customHeight="1">
      <c r="F48" s="53"/>
    </row>
    <row r="49" ht="15.75" customHeight="1">
      <c r="F49" s="53"/>
    </row>
    <row r="50" ht="15.75" customHeight="1">
      <c r="F50" s="53"/>
    </row>
    <row r="51" ht="15.75" customHeight="1">
      <c r="F51" s="53"/>
    </row>
    <row r="52" ht="15.75" customHeight="1">
      <c r="F52" s="53"/>
    </row>
    <row r="53" ht="15.75" customHeight="1">
      <c r="F53" s="53"/>
    </row>
    <row r="54" ht="15.75" customHeight="1">
      <c r="F54" s="53"/>
    </row>
    <row r="55" ht="15.75" customHeight="1">
      <c r="F55" s="53"/>
    </row>
    <row r="56" ht="15.75" customHeight="1">
      <c r="F56" s="53"/>
    </row>
    <row r="57" ht="15.75" customHeight="1">
      <c r="F57" s="53"/>
    </row>
    <row r="58" ht="15.75" customHeight="1">
      <c r="F58" s="53"/>
    </row>
    <row r="59" ht="15.75" customHeight="1">
      <c r="F59" s="53"/>
    </row>
    <row r="60" ht="15.75" customHeight="1">
      <c r="F60" s="53"/>
    </row>
    <row r="61" ht="15.75" customHeight="1">
      <c r="F61" s="53"/>
    </row>
    <row r="62" ht="15.75" customHeight="1">
      <c r="F62" s="53"/>
    </row>
    <row r="63" ht="15.75" customHeight="1">
      <c r="F63" s="53"/>
    </row>
    <row r="64" ht="15.75" customHeight="1">
      <c r="F64" s="53"/>
    </row>
    <row r="65" ht="15.75" customHeight="1">
      <c r="F65" s="53"/>
    </row>
    <row r="66" ht="15.75" customHeight="1">
      <c r="F66" s="53"/>
    </row>
    <row r="67" ht="15.75" customHeight="1">
      <c r="F67" s="53"/>
    </row>
    <row r="68" ht="15.75" customHeight="1">
      <c r="F68" s="53"/>
    </row>
    <row r="69" ht="15.75" customHeight="1">
      <c r="F69" s="53"/>
    </row>
    <row r="70" ht="15.75" customHeight="1">
      <c r="F70" s="53"/>
    </row>
    <row r="71" ht="15.75" customHeight="1">
      <c r="F71" s="53"/>
    </row>
    <row r="72" ht="15.75" customHeight="1">
      <c r="F72" s="53"/>
    </row>
    <row r="73" ht="15.75" customHeight="1">
      <c r="F73" s="53"/>
    </row>
    <row r="74" ht="15.75" customHeight="1">
      <c r="F74" s="53"/>
    </row>
    <row r="75" ht="15.75" customHeight="1">
      <c r="F75" s="53"/>
    </row>
    <row r="76" ht="15.75" customHeight="1">
      <c r="F76" s="53"/>
    </row>
    <row r="77" ht="15.75" customHeight="1">
      <c r="F77" s="53"/>
    </row>
    <row r="78" ht="15.75" customHeight="1">
      <c r="F78" s="53"/>
    </row>
    <row r="79" ht="15.75" customHeight="1">
      <c r="F79" s="53"/>
    </row>
    <row r="80" ht="15.75" customHeight="1">
      <c r="F80" s="53"/>
    </row>
    <row r="81" ht="15.75" customHeight="1">
      <c r="F81" s="53"/>
    </row>
    <row r="82" ht="15.75" customHeight="1">
      <c r="F82" s="53"/>
    </row>
    <row r="83" ht="15.75" customHeight="1">
      <c r="F83" s="53"/>
    </row>
    <row r="84" ht="15.75" customHeight="1">
      <c r="F84" s="53"/>
    </row>
    <row r="85" ht="15.75" customHeight="1">
      <c r="F85" s="53"/>
    </row>
    <row r="86" ht="15.75" customHeight="1">
      <c r="F86" s="53"/>
    </row>
    <row r="87" ht="15.75" customHeight="1">
      <c r="F87" s="53"/>
    </row>
    <row r="88" ht="15.75" customHeight="1">
      <c r="F88" s="53"/>
    </row>
    <row r="89" ht="15.75" customHeight="1">
      <c r="F89" s="53"/>
    </row>
    <row r="90" ht="15.75" customHeight="1">
      <c r="F90" s="53"/>
    </row>
    <row r="91" ht="15.75" customHeight="1">
      <c r="F91" s="53"/>
    </row>
    <row r="92" ht="15.75" customHeight="1">
      <c r="F92" s="53"/>
    </row>
    <row r="93" ht="15.75" customHeight="1">
      <c r="F93" s="53"/>
    </row>
    <row r="94" ht="15.75" customHeight="1">
      <c r="F94" s="53"/>
    </row>
    <row r="95" ht="15.75" customHeight="1">
      <c r="F95" s="53"/>
    </row>
    <row r="96" ht="15.75" customHeight="1">
      <c r="F96" s="53"/>
    </row>
    <row r="97" ht="15.75" customHeight="1">
      <c r="F97" s="53"/>
    </row>
    <row r="98" ht="15.75" customHeight="1">
      <c r="F98" s="53"/>
    </row>
    <row r="99" ht="15.75" customHeight="1">
      <c r="F99" s="53"/>
    </row>
    <row r="100" ht="15.75" customHeight="1">
      <c r="F100" s="53"/>
    </row>
    <row r="101" ht="15.75" customHeight="1">
      <c r="F101" s="53"/>
    </row>
    <row r="102" ht="15.75" customHeight="1">
      <c r="F102" s="53"/>
    </row>
    <row r="103" ht="15.75" customHeight="1">
      <c r="F103" s="53"/>
    </row>
    <row r="104" ht="15.75" customHeight="1">
      <c r="F104" s="53"/>
    </row>
    <row r="105" ht="15.75" customHeight="1">
      <c r="F105" s="53"/>
    </row>
    <row r="106" ht="15.75" customHeight="1">
      <c r="F106" s="53"/>
    </row>
    <row r="107" ht="15.75" customHeight="1">
      <c r="F107" s="53"/>
    </row>
    <row r="108" ht="15.75" customHeight="1">
      <c r="F108" s="53"/>
    </row>
    <row r="109" ht="15.75" customHeight="1">
      <c r="F109" s="53"/>
    </row>
    <row r="110" ht="15.75" customHeight="1">
      <c r="F110" s="53"/>
    </row>
    <row r="111" ht="15.75" customHeight="1">
      <c r="F111" s="53"/>
    </row>
    <row r="112" ht="15.75" customHeight="1">
      <c r="F112" s="53"/>
    </row>
    <row r="113" ht="15.75" customHeight="1">
      <c r="F113" s="53"/>
    </row>
    <row r="114" ht="15.75" customHeight="1">
      <c r="F114" s="53"/>
    </row>
    <row r="115" ht="15.75" customHeight="1">
      <c r="F115" s="53"/>
    </row>
    <row r="116" ht="15.75" customHeight="1">
      <c r="F116" s="53"/>
    </row>
    <row r="117" ht="15.75" customHeight="1">
      <c r="F117" s="53"/>
    </row>
    <row r="118" ht="15.75" customHeight="1">
      <c r="F118" s="53"/>
    </row>
    <row r="119" ht="15.75" customHeight="1">
      <c r="F119" s="53"/>
    </row>
    <row r="120" ht="15.75" customHeight="1">
      <c r="F120" s="53"/>
    </row>
    <row r="121" ht="15.75" customHeight="1">
      <c r="F121" s="53"/>
    </row>
    <row r="122" ht="15.75" customHeight="1">
      <c r="F122" s="53"/>
    </row>
    <row r="123" ht="15.75" customHeight="1">
      <c r="F123" s="53"/>
    </row>
    <row r="124" ht="15.75" customHeight="1">
      <c r="F124" s="53"/>
    </row>
    <row r="125" ht="15.75" customHeight="1">
      <c r="F125" s="53"/>
    </row>
    <row r="126" ht="15.75" customHeight="1">
      <c r="F126" s="53"/>
    </row>
    <row r="127" ht="15.75" customHeight="1">
      <c r="F127" s="53"/>
    </row>
    <row r="128" ht="15.75" customHeight="1">
      <c r="F128" s="53"/>
    </row>
    <row r="129" ht="15.75" customHeight="1">
      <c r="F129" s="53"/>
    </row>
    <row r="130" ht="15.75" customHeight="1">
      <c r="F130" s="53"/>
    </row>
    <row r="131" ht="15.75" customHeight="1">
      <c r="F131" s="53"/>
    </row>
    <row r="132" ht="15.75" customHeight="1">
      <c r="F132" s="53"/>
    </row>
    <row r="133" ht="15.75" customHeight="1">
      <c r="F133" s="53"/>
    </row>
    <row r="134" ht="15.75" customHeight="1">
      <c r="F134" s="53"/>
    </row>
    <row r="135" ht="15.75" customHeight="1">
      <c r="F135" s="53"/>
    </row>
    <row r="136" ht="15.75" customHeight="1">
      <c r="F136" s="53"/>
    </row>
    <row r="137" ht="15.75" customHeight="1">
      <c r="F137" s="53"/>
    </row>
    <row r="138" ht="15.75" customHeight="1">
      <c r="F138" s="53"/>
    </row>
    <row r="139" ht="15.75" customHeight="1">
      <c r="F139" s="53"/>
    </row>
    <row r="140" ht="15.75" customHeight="1">
      <c r="F140" s="53"/>
    </row>
    <row r="141" ht="15.75" customHeight="1">
      <c r="F141" s="53"/>
    </row>
    <row r="142" ht="15.75" customHeight="1">
      <c r="F142" s="53"/>
    </row>
    <row r="143" ht="15.75" customHeight="1">
      <c r="F143" s="53"/>
    </row>
    <row r="144" ht="15.75" customHeight="1">
      <c r="F144" s="53"/>
    </row>
    <row r="145" ht="15.75" customHeight="1">
      <c r="F145" s="53"/>
    </row>
    <row r="146" ht="15.75" customHeight="1">
      <c r="F146" s="53"/>
    </row>
    <row r="147" ht="15.75" customHeight="1">
      <c r="F147" s="53"/>
    </row>
    <row r="148" ht="15.75" customHeight="1">
      <c r="F148" s="53"/>
    </row>
    <row r="149" ht="15.75" customHeight="1">
      <c r="F149" s="53"/>
    </row>
    <row r="150" ht="15.75" customHeight="1">
      <c r="F150" s="53"/>
    </row>
    <row r="151" ht="15.75" customHeight="1">
      <c r="F151" s="53"/>
    </row>
    <row r="152" ht="15.75" customHeight="1">
      <c r="F152" s="53"/>
    </row>
    <row r="153" ht="15.75" customHeight="1">
      <c r="F153" s="53"/>
    </row>
    <row r="154" ht="15.75" customHeight="1">
      <c r="F154" s="53"/>
    </row>
    <row r="155" ht="15.75" customHeight="1">
      <c r="F155" s="53"/>
    </row>
    <row r="156" ht="15.75" customHeight="1">
      <c r="F156" s="53"/>
    </row>
    <row r="157" ht="15.75" customHeight="1">
      <c r="F157" s="53"/>
    </row>
    <row r="158" ht="15.75" customHeight="1">
      <c r="F158" s="53"/>
    </row>
    <row r="159" ht="15.75" customHeight="1">
      <c r="F159" s="53"/>
    </row>
    <row r="160" ht="15.75" customHeight="1">
      <c r="F160" s="53"/>
    </row>
    <row r="161" ht="15.75" customHeight="1">
      <c r="F161" s="53"/>
    </row>
    <row r="162" ht="15.75" customHeight="1">
      <c r="F162" s="53"/>
    </row>
    <row r="163" ht="15.75" customHeight="1">
      <c r="F163" s="53"/>
    </row>
    <row r="164" ht="15.75" customHeight="1">
      <c r="F164" s="53"/>
    </row>
    <row r="165" ht="15.75" customHeight="1">
      <c r="F165" s="53"/>
    </row>
    <row r="166" ht="15.75" customHeight="1">
      <c r="F166" s="53"/>
    </row>
    <row r="167" ht="15.75" customHeight="1">
      <c r="F167" s="53"/>
    </row>
    <row r="168" ht="15.75" customHeight="1">
      <c r="F168" s="53"/>
    </row>
    <row r="169" ht="15.75" customHeight="1">
      <c r="F169" s="53"/>
    </row>
    <row r="170" ht="15.75" customHeight="1">
      <c r="F170" s="53"/>
    </row>
    <row r="171" ht="15.75" customHeight="1">
      <c r="F171" s="53"/>
    </row>
    <row r="172" ht="15.75" customHeight="1">
      <c r="F172" s="53"/>
    </row>
    <row r="173" ht="15.75" customHeight="1">
      <c r="F173" s="53"/>
    </row>
    <row r="174" ht="15.75" customHeight="1">
      <c r="F174" s="53"/>
    </row>
    <row r="175" ht="15.75" customHeight="1">
      <c r="F175" s="53"/>
    </row>
    <row r="176" ht="15.75" customHeight="1">
      <c r="F176" s="53"/>
    </row>
    <row r="177" ht="15.75" customHeight="1">
      <c r="F177" s="53"/>
    </row>
    <row r="178" ht="15.75" customHeight="1">
      <c r="F178" s="53"/>
    </row>
    <row r="179" ht="15.75" customHeight="1">
      <c r="F179" s="53"/>
    </row>
    <row r="180" ht="15.75" customHeight="1">
      <c r="F180" s="53"/>
    </row>
    <row r="181" ht="15.75" customHeight="1">
      <c r="F181" s="53"/>
    </row>
    <row r="182" ht="15.75" customHeight="1">
      <c r="F182" s="53"/>
    </row>
    <row r="183" ht="15.75" customHeight="1">
      <c r="F183" s="53"/>
    </row>
    <row r="184" ht="15.75" customHeight="1">
      <c r="F184" s="53"/>
    </row>
    <row r="185" ht="15.75" customHeight="1">
      <c r="F185" s="53"/>
    </row>
    <row r="186" ht="15.75" customHeight="1">
      <c r="F186" s="53"/>
    </row>
    <row r="187" ht="15.75" customHeight="1">
      <c r="F187" s="53"/>
    </row>
    <row r="188" ht="15.75" customHeight="1">
      <c r="F188" s="53"/>
    </row>
    <row r="189" ht="15.75" customHeight="1">
      <c r="F189" s="53"/>
    </row>
    <row r="190" ht="15.75" customHeight="1">
      <c r="F190" s="53"/>
    </row>
    <row r="191" ht="15.75" customHeight="1">
      <c r="F191" s="53"/>
    </row>
    <row r="192" ht="15.75" customHeight="1">
      <c r="F192" s="53"/>
    </row>
    <row r="193" ht="15.75" customHeight="1">
      <c r="F193" s="53"/>
    </row>
    <row r="194" ht="15.75" customHeight="1">
      <c r="F194" s="53"/>
    </row>
    <row r="195" ht="15.75" customHeight="1">
      <c r="F195" s="53"/>
    </row>
    <row r="196" ht="15.75" customHeight="1">
      <c r="F196" s="53"/>
    </row>
    <row r="197" ht="15.75" customHeight="1">
      <c r="F197" s="53"/>
    </row>
    <row r="198" ht="15.75" customHeight="1">
      <c r="F198" s="53"/>
    </row>
    <row r="199" ht="15.75" customHeight="1">
      <c r="F199" s="53"/>
    </row>
    <row r="200" ht="15.75" customHeight="1">
      <c r="F200" s="53"/>
    </row>
    <row r="201" ht="15.75" customHeight="1">
      <c r="F201" s="53"/>
    </row>
    <row r="202" ht="15.75" customHeight="1">
      <c r="F202" s="53"/>
    </row>
    <row r="203" ht="15.75" customHeight="1">
      <c r="F203" s="53"/>
    </row>
    <row r="204" ht="15.75" customHeight="1">
      <c r="F204" s="53"/>
    </row>
    <row r="205" ht="15.75" customHeight="1">
      <c r="F205" s="53"/>
    </row>
    <row r="206" ht="15.75" customHeight="1">
      <c r="F206" s="53"/>
    </row>
    <row r="207" ht="15.75" customHeight="1">
      <c r="F207" s="53"/>
    </row>
    <row r="208" ht="15.75" customHeight="1">
      <c r="F208" s="53"/>
    </row>
    <row r="209" ht="15.75" customHeight="1">
      <c r="F209" s="53"/>
    </row>
    <row r="210" ht="15.75" customHeight="1">
      <c r="F210" s="53"/>
    </row>
    <row r="211" ht="15.75" customHeight="1">
      <c r="F211" s="53"/>
    </row>
    <row r="212" ht="15.75" customHeight="1">
      <c r="F212" s="53"/>
    </row>
    <row r="213" ht="15.75" customHeight="1">
      <c r="F213" s="53"/>
    </row>
    <row r="214" ht="15.75" customHeight="1">
      <c r="F214" s="53"/>
    </row>
    <row r="215" ht="15.75" customHeight="1">
      <c r="F215" s="53"/>
    </row>
    <row r="216" ht="15.75" customHeight="1">
      <c r="F216" s="53"/>
    </row>
    <row r="217" ht="15.75" customHeight="1">
      <c r="F217" s="53"/>
    </row>
    <row r="218" ht="15.75" customHeight="1">
      <c r="F218" s="53"/>
    </row>
    <row r="219" ht="15.75" customHeight="1">
      <c r="F219" s="53"/>
    </row>
    <row r="220" ht="15.75" customHeight="1">
      <c r="F220" s="53"/>
    </row>
    <row r="221" ht="15.75" customHeight="1">
      <c r="F221" s="5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D1:E1"/>
    <mergeCell ref="D11:E11"/>
  </mergeCells>
  <printOptions/>
  <pageMargins bottom="1.0" footer="0.0" header="0.0" left="0.75" right="0.75" top="1.0"/>
  <pageSetup orientation="landscape"/>
  <drawing r:id="rId1"/>
</worksheet>
</file>